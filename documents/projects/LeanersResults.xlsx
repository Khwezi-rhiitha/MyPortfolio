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mak\OneDrive\CERTIFICATES\MicrosoftExcel\"/>
    </mc:Choice>
  </mc:AlternateContent>
  <xr:revisionPtr revIDLastSave="0" documentId="13_ncr:1_{AFD949E9-3FE5-490B-81E2-9177EAFEC969}" xr6:coauthVersionLast="47" xr6:coauthVersionMax="47" xr10:uidLastSave="{00000000-0000-0000-0000-000000000000}"/>
  <bookViews>
    <workbookView xWindow="-120" yWindow="-120" windowWidth="20730" windowHeight="11040" activeTab="1" xr2:uid="{19B4B05A-8D70-4BE9-A702-C7F5CE2AF3D5}"/>
  </bookViews>
  <sheets>
    <sheet name="Sheet4" sheetId="4" r:id="rId1"/>
    <sheet name="Sheet1" sheetId="1" r:id="rId2"/>
  </sheets>
  <calcPr calcId="191029"/>
  <pivotCaches>
    <pivotCache cacheId="2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F27" i="1"/>
  <c r="G27" i="1"/>
  <c r="C27" i="1"/>
  <c r="K27" i="1"/>
  <c r="L27" i="1"/>
  <c r="M27" i="1"/>
  <c r="N27" i="1"/>
  <c r="J27" i="1"/>
  <c r="R27" i="1"/>
  <c r="S27" i="1"/>
  <c r="T27" i="1"/>
  <c r="U27" i="1"/>
  <c r="Q27" i="1"/>
  <c r="Y27" i="1"/>
  <c r="Z27" i="1"/>
  <c r="AA27" i="1"/>
  <c r="AB27" i="1"/>
  <c r="X27" i="1"/>
  <c r="AC27" i="1" s="1"/>
  <c r="Y26" i="1"/>
  <c r="Z26" i="1"/>
  <c r="AA26" i="1"/>
  <c r="AB26" i="1"/>
  <c r="X26" i="1"/>
  <c r="R26" i="1"/>
  <c r="S26" i="1"/>
  <c r="T26" i="1"/>
  <c r="U26" i="1"/>
  <c r="Q26" i="1"/>
  <c r="K26" i="1"/>
  <c r="L26" i="1"/>
  <c r="M26" i="1"/>
  <c r="N26" i="1"/>
  <c r="J26" i="1"/>
  <c r="D26" i="1"/>
  <c r="E26" i="1"/>
  <c r="F26" i="1"/>
  <c r="G26" i="1"/>
  <c r="C26" i="1"/>
  <c r="H26" i="1" s="1"/>
  <c r="D25" i="1"/>
  <c r="E25" i="1"/>
  <c r="F25" i="1"/>
  <c r="G25" i="1"/>
  <c r="J25" i="1"/>
  <c r="K25" i="1"/>
  <c r="L25" i="1"/>
  <c r="M25" i="1"/>
  <c r="N25" i="1"/>
  <c r="Q25" i="1"/>
  <c r="R25" i="1"/>
  <c r="S25" i="1"/>
  <c r="T25" i="1"/>
  <c r="U25" i="1"/>
  <c r="X25" i="1"/>
  <c r="Y25" i="1"/>
  <c r="Z25" i="1"/>
  <c r="AA25" i="1"/>
  <c r="AB25" i="1"/>
  <c r="C25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4" i="1"/>
  <c r="P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4" i="1"/>
  <c r="O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H4" i="1"/>
  <c r="AE4" i="1" s="1"/>
  <c r="H5" i="1"/>
  <c r="AE5" i="1" s="1"/>
  <c r="H6" i="1"/>
  <c r="H7" i="1"/>
  <c r="AE7" i="1" s="1"/>
  <c r="H8" i="1"/>
  <c r="AE8" i="1" s="1"/>
  <c r="H9" i="1"/>
  <c r="AE9" i="1" s="1"/>
  <c r="H10" i="1"/>
  <c r="AE10" i="1" s="1"/>
  <c r="H11" i="1"/>
  <c r="AE11" i="1" s="1"/>
  <c r="H12" i="1"/>
  <c r="AE12" i="1" s="1"/>
  <c r="H13" i="1"/>
  <c r="AE13" i="1" s="1"/>
  <c r="H14" i="1"/>
  <c r="AE14" i="1" s="1"/>
  <c r="H15" i="1"/>
  <c r="AE15" i="1" s="1"/>
  <c r="H16" i="1"/>
  <c r="AE16" i="1" s="1"/>
  <c r="H17" i="1"/>
  <c r="AE17" i="1" s="1"/>
  <c r="H18" i="1"/>
  <c r="AE18" i="1" s="1"/>
  <c r="H19" i="1"/>
  <c r="AE19" i="1" s="1"/>
  <c r="H20" i="1"/>
  <c r="AE20" i="1" s="1"/>
  <c r="H21" i="1"/>
  <c r="AE21" i="1" s="1"/>
  <c r="H22" i="1"/>
  <c r="AE22" i="1" s="1"/>
  <c r="H23" i="1"/>
  <c r="AE23" i="1" s="1"/>
  <c r="O26" i="1" l="1"/>
  <c r="V27" i="1"/>
  <c r="V26" i="1"/>
  <c r="O27" i="1"/>
  <c r="AE6" i="1"/>
  <c r="AC26" i="1"/>
  <c r="H27" i="1"/>
  <c r="V25" i="1"/>
  <c r="AC25" i="1"/>
  <c r="O25" i="1"/>
  <c r="H25" i="1"/>
  <c r="C28" i="1" l="1"/>
</calcChain>
</file>

<file path=xl/sharedStrings.xml><?xml version="1.0" encoding="utf-8"?>
<sst xmlns="http://schemas.openxmlformats.org/spreadsheetml/2006/main" count="108" uniqueCount="69">
  <si>
    <t>Learners Results</t>
  </si>
  <si>
    <t>First Name</t>
  </si>
  <si>
    <t>Last Name</t>
  </si>
  <si>
    <t>Term 3</t>
  </si>
  <si>
    <t>Term 4</t>
  </si>
  <si>
    <t>Onika</t>
  </si>
  <si>
    <t>Thato</t>
  </si>
  <si>
    <t>Louise</t>
  </si>
  <si>
    <t>Siyabonga</t>
  </si>
  <si>
    <t>Charlene</t>
  </si>
  <si>
    <t>Kamohelo</t>
  </si>
  <si>
    <t>Dre</t>
  </si>
  <si>
    <t>Harmony</t>
  </si>
  <si>
    <t>John</t>
  </si>
  <si>
    <t>Nhlanhla</t>
  </si>
  <si>
    <t>Rose</t>
  </si>
  <si>
    <t>Aurora</t>
  </si>
  <si>
    <t>Bokamoso</t>
  </si>
  <si>
    <t>Fatima</t>
  </si>
  <si>
    <t>Gloria</t>
  </si>
  <si>
    <t>Issaic</t>
  </si>
  <si>
    <t>Monica</t>
  </si>
  <si>
    <t>Persly</t>
  </si>
  <si>
    <t>Vusi</t>
  </si>
  <si>
    <t>Queen</t>
  </si>
  <si>
    <t>Addams</t>
  </si>
  <si>
    <t>Majoro</t>
  </si>
  <si>
    <t>Hamilton</t>
  </si>
  <si>
    <t>Dladla</t>
  </si>
  <si>
    <t>Mark</t>
  </si>
  <si>
    <t>Nsika</t>
  </si>
  <si>
    <t>Dlomo</t>
  </si>
  <si>
    <t>Wick</t>
  </si>
  <si>
    <t>Van Wik</t>
  </si>
  <si>
    <t>Zuma</t>
  </si>
  <si>
    <t>Reedy</t>
  </si>
  <si>
    <t>Mikaelson</t>
  </si>
  <si>
    <t>Mofokeng</t>
  </si>
  <si>
    <t>Bell</t>
  </si>
  <si>
    <t>Nelson</t>
  </si>
  <si>
    <t>Dovin</t>
  </si>
  <si>
    <t>Stone</t>
  </si>
  <si>
    <t>Hazard</t>
  </si>
  <si>
    <t>Weston</t>
  </si>
  <si>
    <t>Robertson</t>
  </si>
  <si>
    <t>Term1</t>
  </si>
  <si>
    <t>English</t>
  </si>
  <si>
    <t>Mathematics</t>
  </si>
  <si>
    <t>Physical Science</t>
  </si>
  <si>
    <t>Accounting</t>
  </si>
  <si>
    <t>Term 2</t>
  </si>
  <si>
    <t>Learners Average</t>
  </si>
  <si>
    <t>Subject Average</t>
  </si>
  <si>
    <t>Grade Average</t>
  </si>
  <si>
    <t>Pass / Fail</t>
  </si>
  <si>
    <t>Art</t>
  </si>
  <si>
    <t>Life Orientation</t>
  </si>
  <si>
    <t>Life orientaion</t>
  </si>
  <si>
    <t>Learners with distictions</t>
  </si>
  <si>
    <t>Failed Learnes</t>
  </si>
  <si>
    <t>Grand Year Average</t>
  </si>
  <si>
    <t>Row Labels</t>
  </si>
  <si>
    <t>(blank)</t>
  </si>
  <si>
    <t>Grand Total</t>
  </si>
  <si>
    <t>Sum of Grand Year Average</t>
  </si>
  <si>
    <t>Sum of Mathematics4</t>
  </si>
  <si>
    <t>Sum of Mathematics</t>
  </si>
  <si>
    <t>Sum of Mathematics2</t>
  </si>
  <si>
    <t>Sum of Mathematics3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</si>
</sst>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  <xf numFmtId="0" fontId="0" fillId="7" borderId="0" xfId="0" applyFill="1"/>
    <xf numFmtId="0" fontId="0" fillId="7" borderId="1" xfId="0" applyFill="1" applyBorder="1"/>
    <xf numFmtId="0" fontId="0" fillId="3" borderId="2" xfId="0" applyFill="1" applyBorder="1"/>
    <xf numFmtId="0" fontId="0" fillId="8" borderId="1" xfId="0" applyFill="1" applyBorder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Sheet1!$B$4:$B$23</c:f>
              <c:strCache>
                <c:ptCount val="20"/>
                <c:pt idx="0">
                  <c:v>Reedy</c:v>
                </c:pt>
                <c:pt idx="1">
                  <c:v>Nsika</c:v>
                </c:pt>
                <c:pt idx="2">
                  <c:v>Mark</c:v>
                </c:pt>
                <c:pt idx="3">
                  <c:v>Dlomo</c:v>
                </c:pt>
                <c:pt idx="4">
                  <c:v>Mikaelson</c:v>
                </c:pt>
                <c:pt idx="5">
                  <c:v>Mofokeng</c:v>
                </c:pt>
                <c:pt idx="6">
                  <c:v>Bell</c:v>
                </c:pt>
                <c:pt idx="7">
                  <c:v>Addams</c:v>
                </c:pt>
                <c:pt idx="8">
                  <c:v>Van Wik</c:v>
                </c:pt>
                <c:pt idx="9">
                  <c:v>Zuma</c:v>
                </c:pt>
                <c:pt idx="10">
                  <c:v>Wick</c:v>
                </c:pt>
                <c:pt idx="11">
                  <c:v>Nelson</c:v>
                </c:pt>
                <c:pt idx="12">
                  <c:v>Majoro</c:v>
                </c:pt>
                <c:pt idx="13">
                  <c:v>Dovin</c:v>
                </c:pt>
                <c:pt idx="14">
                  <c:v>Stone</c:v>
                </c:pt>
                <c:pt idx="15">
                  <c:v>Hamilton</c:v>
                </c:pt>
                <c:pt idx="16">
                  <c:v>Hazard</c:v>
                </c:pt>
                <c:pt idx="17">
                  <c:v>Robertson</c:v>
                </c:pt>
                <c:pt idx="18">
                  <c:v>Dladla</c:v>
                </c:pt>
                <c:pt idx="19">
                  <c:v>Weston</c:v>
                </c:pt>
              </c:strCache>
            </c:strRef>
          </c:cat>
          <c:val>
            <c:numRef>
              <c:f>Sheet1!$C$4:$C$23</c:f>
              <c:numCache>
                <c:formatCode>General</c:formatCode>
                <c:ptCount val="20"/>
                <c:pt idx="0">
                  <c:v>90</c:v>
                </c:pt>
                <c:pt idx="1">
                  <c:v>67</c:v>
                </c:pt>
                <c:pt idx="2">
                  <c:v>73</c:v>
                </c:pt>
                <c:pt idx="3">
                  <c:v>65</c:v>
                </c:pt>
                <c:pt idx="4">
                  <c:v>64</c:v>
                </c:pt>
                <c:pt idx="5">
                  <c:v>85</c:v>
                </c:pt>
                <c:pt idx="6">
                  <c:v>64</c:v>
                </c:pt>
                <c:pt idx="7">
                  <c:v>82</c:v>
                </c:pt>
                <c:pt idx="8">
                  <c:v>65</c:v>
                </c:pt>
                <c:pt idx="9">
                  <c:v>87</c:v>
                </c:pt>
                <c:pt idx="10">
                  <c:v>65</c:v>
                </c:pt>
                <c:pt idx="11">
                  <c:v>76</c:v>
                </c:pt>
                <c:pt idx="12">
                  <c:v>79</c:v>
                </c:pt>
                <c:pt idx="13">
                  <c:v>90</c:v>
                </c:pt>
                <c:pt idx="14">
                  <c:v>95</c:v>
                </c:pt>
                <c:pt idx="15">
                  <c:v>85</c:v>
                </c:pt>
                <c:pt idx="16">
                  <c:v>86</c:v>
                </c:pt>
                <c:pt idx="17">
                  <c:v>64</c:v>
                </c:pt>
                <c:pt idx="18">
                  <c:v>96</c:v>
                </c:pt>
                <c:pt idx="1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E-4ED4-92F9-18992A179528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Mathematics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Sheet1!$B$4:$B$23</c:f>
              <c:strCache>
                <c:ptCount val="20"/>
                <c:pt idx="0">
                  <c:v>Reedy</c:v>
                </c:pt>
                <c:pt idx="1">
                  <c:v>Nsika</c:v>
                </c:pt>
                <c:pt idx="2">
                  <c:v>Mark</c:v>
                </c:pt>
                <c:pt idx="3">
                  <c:v>Dlomo</c:v>
                </c:pt>
                <c:pt idx="4">
                  <c:v>Mikaelson</c:v>
                </c:pt>
                <c:pt idx="5">
                  <c:v>Mofokeng</c:v>
                </c:pt>
                <c:pt idx="6">
                  <c:v>Bell</c:v>
                </c:pt>
                <c:pt idx="7">
                  <c:v>Addams</c:v>
                </c:pt>
                <c:pt idx="8">
                  <c:v>Van Wik</c:v>
                </c:pt>
                <c:pt idx="9">
                  <c:v>Zuma</c:v>
                </c:pt>
                <c:pt idx="10">
                  <c:v>Wick</c:v>
                </c:pt>
                <c:pt idx="11">
                  <c:v>Nelson</c:v>
                </c:pt>
                <c:pt idx="12">
                  <c:v>Majoro</c:v>
                </c:pt>
                <c:pt idx="13">
                  <c:v>Dovin</c:v>
                </c:pt>
                <c:pt idx="14">
                  <c:v>Stone</c:v>
                </c:pt>
                <c:pt idx="15">
                  <c:v>Hamilton</c:v>
                </c:pt>
                <c:pt idx="16">
                  <c:v>Hazard</c:v>
                </c:pt>
                <c:pt idx="17">
                  <c:v>Robertson</c:v>
                </c:pt>
                <c:pt idx="18">
                  <c:v>Dladla</c:v>
                </c:pt>
                <c:pt idx="19">
                  <c:v>Weston</c:v>
                </c:pt>
              </c:strCache>
            </c:strRef>
          </c:cat>
          <c:val>
            <c:numRef>
              <c:f>Sheet1!$D$4:$D$23</c:f>
              <c:numCache>
                <c:formatCode>General</c:formatCode>
                <c:ptCount val="20"/>
                <c:pt idx="0">
                  <c:v>44</c:v>
                </c:pt>
                <c:pt idx="1">
                  <c:v>51</c:v>
                </c:pt>
                <c:pt idx="2">
                  <c:v>56</c:v>
                </c:pt>
                <c:pt idx="3">
                  <c:v>49</c:v>
                </c:pt>
                <c:pt idx="4">
                  <c:v>37</c:v>
                </c:pt>
                <c:pt idx="5">
                  <c:v>60</c:v>
                </c:pt>
                <c:pt idx="6">
                  <c:v>30</c:v>
                </c:pt>
                <c:pt idx="7">
                  <c:v>53</c:v>
                </c:pt>
                <c:pt idx="8">
                  <c:v>50</c:v>
                </c:pt>
                <c:pt idx="9">
                  <c:v>39</c:v>
                </c:pt>
                <c:pt idx="10">
                  <c:v>31</c:v>
                </c:pt>
                <c:pt idx="11">
                  <c:v>78</c:v>
                </c:pt>
                <c:pt idx="12">
                  <c:v>33</c:v>
                </c:pt>
                <c:pt idx="13">
                  <c:v>25</c:v>
                </c:pt>
                <c:pt idx="14">
                  <c:v>25</c:v>
                </c:pt>
                <c:pt idx="15">
                  <c:v>55</c:v>
                </c:pt>
                <c:pt idx="16">
                  <c:v>64</c:v>
                </c:pt>
                <c:pt idx="17">
                  <c:v>28</c:v>
                </c:pt>
                <c:pt idx="18">
                  <c:v>41</c:v>
                </c:pt>
                <c:pt idx="19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E-4ED4-92F9-18992A179528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Physical 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Sheet1!$B$4:$B$23</c:f>
              <c:strCache>
                <c:ptCount val="20"/>
                <c:pt idx="0">
                  <c:v>Reedy</c:v>
                </c:pt>
                <c:pt idx="1">
                  <c:v>Nsika</c:v>
                </c:pt>
                <c:pt idx="2">
                  <c:v>Mark</c:v>
                </c:pt>
                <c:pt idx="3">
                  <c:v>Dlomo</c:v>
                </c:pt>
                <c:pt idx="4">
                  <c:v>Mikaelson</c:v>
                </c:pt>
                <c:pt idx="5">
                  <c:v>Mofokeng</c:v>
                </c:pt>
                <c:pt idx="6">
                  <c:v>Bell</c:v>
                </c:pt>
                <c:pt idx="7">
                  <c:v>Addams</c:v>
                </c:pt>
                <c:pt idx="8">
                  <c:v>Van Wik</c:v>
                </c:pt>
                <c:pt idx="9">
                  <c:v>Zuma</c:v>
                </c:pt>
                <c:pt idx="10">
                  <c:v>Wick</c:v>
                </c:pt>
                <c:pt idx="11">
                  <c:v>Nelson</c:v>
                </c:pt>
                <c:pt idx="12">
                  <c:v>Majoro</c:v>
                </c:pt>
                <c:pt idx="13">
                  <c:v>Dovin</c:v>
                </c:pt>
                <c:pt idx="14">
                  <c:v>Stone</c:v>
                </c:pt>
                <c:pt idx="15">
                  <c:v>Hamilton</c:v>
                </c:pt>
                <c:pt idx="16">
                  <c:v>Hazard</c:v>
                </c:pt>
                <c:pt idx="17">
                  <c:v>Robertson</c:v>
                </c:pt>
                <c:pt idx="18">
                  <c:v>Dladla</c:v>
                </c:pt>
                <c:pt idx="19">
                  <c:v>Weston</c:v>
                </c:pt>
              </c:strCache>
            </c:strRef>
          </c:cat>
          <c:val>
            <c:numRef>
              <c:f>Sheet1!$E$4:$E$23</c:f>
              <c:numCache>
                <c:formatCode>General</c:formatCode>
                <c:ptCount val="20"/>
                <c:pt idx="0">
                  <c:v>62</c:v>
                </c:pt>
                <c:pt idx="1">
                  <c:v>70</c:v>
                </c:pt>
                <c:pt idx="2">
                  <c:v>94</c:v>
                </c:pt>
                <c:pt idx="3">
                  <c:v>79</c:v>
                </c:pt>
                <c:pt idx="4">
                  <c:v>85</c:v>
                </c:pt>
                <c:pt idx="5">
                  <c:v>87</c:v>
                </c:pt>
                <c:pt idx="6">
                  <c:v>66</c:v>
                </c:pt>
                <c:pt idx="7">
                  <c:v>63</c:v>
                </c:pt>
                <c:pt idx="8">
                  <c:v>74</c:v>
                </c:pt>
                <c:pt idx="9">
                  <c:v>74</c:v>
                </c:pt>
                <c:pt idx="10">
                  <c:v>76</c:v>
                </c:pt>
                <c:pt idx="11">
                  <c:v>87</c:v>
                </c:pt>
                <c:pt idx="12">
                  <c:v>68</c:v>
                </c:pt>
                <c:pt idx="13">
                  <c:v>80</c:v>
                </c:pt>
                <c:pt idx="14">
                  <c:v>88</c:v>
                </c:pt>
                <c:pt idx="15">
                  <c:v>60</c:v>
                </c:pt>
                <c:pt idx="16">
                  <c:v>66</c:v>
                </c:pt>
                <c:pt idx="17">
                  <c:v>69</c:v>
                </c:pt>
                <c:pt idx="18">
                  <c:v>73</c:v>
                </c:pt>
                <c:pt idx="19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2E-4ED4-92F9-18992A179528}"/>
            </c:ext>
          </c:extLst>
        </c:ser>
        <c:ser>
          <c:idx val="3"/>
          <c:order val="3"/>
          <c:tx>
            <c:strRef>
              <c:f>Sheet1!$F$3</c:f>
              <c:strCache>
                <c:ptCount val="1"/>
                <c:pt idx="0">
                  <c:v>Accounting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Sheet1!$B$4:$B$23</c:f>
              <c:strCache>
                <c:ptCount val="20"/>
                <c:pt idx="0">
                  <c:v>Reedy</c:v>
                </c:pt>
                <c:pt idx="1">
                  <c:v>Nsika</c:v>
                </c:pt>
                <c:pt idx="2">
                  <c:v>Mark</c:v>
                </c:pt>
                <c:pt idx="3">
                  <c:v>Dlomo</c:v>
                </c:pt>
                <c:pt idx="4">
                  <c:v>Mikaelson</c:v>
                </c:pt>
                <c:pt idx="5">
                  <c:v>Mofokeng</c:v>
                </c:pt>
                <c:pt idx="6">
                  <c:v>Bell</c:v>
                </c:pt>
                <c:pt idx="7">
                  <c:v>Addams</c:v>
                </c:pt>
                <c:pt idx="8">
                  <c:v>Van Wik</c:v>
                </c:pt>
                <c:pt idx="9">
                  <c:v>Zuma</c:v>
                </c:pt>
                <c:pt idx="10">
                  <c:v>Wick</c:v>
                </c:pt>
                <c:pt idx="11">
                  <c:v>Nelson</c:v>
                </c:pt>
                <c:pt idx="12">
                  <c:v>Majoro</c:v>
                </c:pt>
                <c:pt idx="13">
                  <c:v>Dovin</c:v>
                </c:pt>
                <c:pt idx="14">
                  <c:v>Stone</c:v>
                </c:pt>
                <c:pt idx="15">
                  <c:v>Hamilton</c:v>
                </c:pt>
                <c:pt idx="16">
                  <c:v>Hazard</c:v>
                </c:pt>
                <c:pt idx="17">
                  <c:v>Robertson</c:v>
                </c:pt>
                <c:pt idx="18">
                  <c:v>Dladla</c:v>
                </c:pt>
                <c:pt idx="19">
                  <c:v>Weston</c:v>
                </c:pt>
              </c:strCache>
            </c:strRef>
          </c:cat>
          <c:val>
            <c:numRef>
              <c:f>Sheet1!$F$4:$F$23</c:f>
              <c:numCache>
                <c:formatCode>General</c:formatCode>
                <c:ptCount val="20"/>
                <c:pt idx="0">
                  <c:v>59</c:v>
                </c:pt>
                <c:pt idx="1">
                  <c:v>47</c:v>
                </c:pt>
                <c:pt idx="2">
                  <c:v>62</c:v>
                </c:pt>
                <c:pt idx="3">
                  <c:v>76</c:v>
                </c:pt>
                <c:pt idx="4">
                  <c:v>47</c:v>
                </c:pt>
                <c:pt idx="5">
                  <c:v>64</c:v>
                </c:pt>
                <c:pt idx="6">
                  <c:v>79</c:v>
                </c:pt>
                <c:pt idx="7">
                  <c:v>55</c:v>
                </c:pt>
                <c:pt idx="8">
                  <c:v>45</c:v>
                </c:pt>
                <c:pt idx="9">
                  <c:v>47</c:v>
                </c:pt>
                <c:pt idx="10">
                  <c:v>54</c:v>
                </c:pt>
                <c:pt idx="11">
                  <c:v>52</c:v>
                </c:pt>
                <c:pt idx="12">
                  <c:v>72</c:v>
                </c:pt>
                <c:pt idx="13">
                  <c:v>56</c:v>
                </c:pt>
                <c:pt idx="14">
                  <c:v>64</c:v>
                </c:pt>
                <c:pt idx="15">
                  <c:v>78</c:v>
                </c:pt>
                <c:pt idx="16">
                  <c:v>50</c:v>
                </c:pt>
                <c:pt idx="17">
                  <c:v>84</c:v>
                </c:pt>
                <c:pt idx="18">
                  <c:v>81</c:v>
                </c:pt>
                <c:pt idx="19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2E-4ED4-92F9-18992A179528}"/>
            </c:ext>
          </c:extLst>
        </c:ser>
        <c:ser>
          <c:idx val="4"/>
          <c:order val="4"/>
          <c:tx>
            <c:strRef>
              <c:f>Sheet1!$G$3</c:f>
              <c:strCache>
                <c:ptCount val="1"/>
                <c:pt idx="0">
                  <c:v>Life Orientation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Sheet1!$B$4:$B$23</c:f>
              <c:strCache>
                <c:ptCount val="20"/>
                <c:pt idx="0">
                  <c:v>Reedy</c:v>
                </c:pt>
                <c:pt idx="1">
                  <c:v>Nsika</c:v>
                </c:pt>
                <c:pt idx="2">
                  <c:v>Mark</c:v>
                </c:pt>
                <c:pt idx="3">
                  <c:v>Dlomo</c:v>
                </c:pt>
                <c:pt idx="4">
                  <c:v>Mikaelson</c:v>
                </c:pt>
                <c:pt idx="5">
                  <c:v>Mofokeng</c:v>
                </c:pt>
                <c:pt idx="6">
                  <c:v>Bell</c:v>
                </c:pt>
                <c:pt idx="7">
                  <c:v>Addams</c:v>
                </c:pt>
                <c:pt idx="8">
                  <c:v>Van Wik</c:v>
                </c:pt>
                <c:pt idx="9">
                  <c:v>Zuma</c:v>
                </c:pt>
                <c:pt idx="10">
                  <c:v>Wick</c:v>
                </c:pt>
                <c:pt idx="11">
                  <c:v>Nelson</c:v>
                </c:pt>
                <c:pt idx="12">
                  <c:v>Majoro</c:v>
                </c:pt>
                <c:pt idx="13">
                  <c:v>Dovin</c:v>
                </c:pt>
                <c:pt idx="14">
                  <c:v>Stone</c:v>
                </c:pt>
                <c:pt idx="15">
                  <c:v>Hamilton</c:v>
                </c:pt>
                <c:pt idx="16">
                  <c:v>Hazard</c:v>
                </c:pt>
                <c:pt idx="17">
                  <c:v>Robertson</c:v>
                </c:pt>
                <c:pt idx="18">
                  <c:v>Dladla</c:v>
                </c:pt>
                <c:pt idx="19">
                  <c:v>Weston</c:v>
                </c:pt>
              </c:strCache>
            </c:strRef>
          </c:cat>
          <c:val>
            <c:numRef>
              <c:f>Sheet1!$G$4:$G$23</c:f>
              <c:numCache>
                <c:formatCode>General</c:formatCode>
                <c:ptCount val="20"/>
                <c:pt idx="0">
                  <c:v>90</c:v>
                </c:pt>
                <c:pt idx="1">
                  <c:v>80</c:v>
                </c:pt>
                <c:pt idx="2">
                  <c:v>95</c:v>
                </c:pt>
                <c:pt idx="3">
                  <c:v>68</c:v>
                </c:pt>
                <c:pt idx="4">
                  <c:v>85</c:v>
                </c:pt>
                <c:pt idx="5">
                  <c:v>82</c:v>
                </c:pt>
                <c:pt idx="6">
                  <c:v>99</c:v>
                </c:pt>
                <c:pt idx="7">
                  <c:v>95</c:v>
                </c:pt>
                <c:pt idx="8">
                  <c:v>88</c:v>
                </c:pt>
                <c:pt idx="9">
                  <c:v>99</c:v>
                </c:pt>
                <c:pt idx="10">
                  <c:v>78</c:v>
                </c:pt>
                <c:pt idx="11">
                  <c:v>90</c:v>
                </c:pt>
                <c:pt idx="12">
                  <c:v>85</c:v>
                </c:pt>
                <c:pt idx="13">
                  <c:v>88</c:v>
                </c:pt>
                <c:pt idx="14">
                  <c:v>82</c:v>
                </c:pt>
                <c:pt idx="15">
                  <c:v>100</c:v>
                </c:pt>
                <c:pt idx="16">
                  <c:v>98</c:v>
                </c:pt>
                <c:pt idx="17">
                  <c:v>77</c:v>
                </c:pt>
                <c:pt idx="18">
                  <c:v>95</c:v>
                </c:pt>
                <c:pt idx="1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2E-4ED4-92F9-18992A179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0814272"/>
        <c:axId val="460807072"/>
        <c:axId val="0"/>
      </c:bar3DChart>
      <c:catAx>
        <c:axId val="46081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07072"/>
        <c:crosses val="autoZero"/>
        <c:auto val="1"/>
        <c:lblAlgn val="ctr"/>
        <c:lblOffset val="100"/>
        <c:noMultiLvlLbl val="0"/>
      </c:catAx>
      <c:valAx>
        <c:axId val="4608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1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Sheet1!$AC$3</c:f>
              <c:strCache>
                <c:ptCount val="1"/>
                <c:pt idx="0">
                  <c:v>Learners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Sheet1!$B$4:$B$23</c:f>
              <c:strCache>
                <c:ptCount val="20"/>
                <c:pt idx="0">
                  <c:v>Reedy</c:v>
                </c:pt>
                <c:pt idx="1">
                  <c:v>Nsika</c:v>
                </c:pt>
                <c:pt idx="2">
                  <c:v>Mark</c:v>
                </c:pt>
                <c:pt idx="3">
                  <c:v>Dlomo</c:v>
                </c:pt>
                <c:pt idx="4">
                  <c:v>Mikaelson</c:v>
                </c:pt>
                <c:pt idx="5">
                  <c:v>Mofokeng</c:v>
                </c:pt>
                <c:pt idx="6">
                  <c:v>Bell</c:v>
                </c:pt>
                <c:pt idx="7">
                  <c:v>Addams</c:v>
                </c:pt>
                <c:pt idx="8">
                  <c:v>Van Wik</c:v>
                </c:pt>
                <c:pt idx="9">
                  <c:v>Zuma</c:v>
                </c:pt>
                <c:pt idx="10">
                  <c:v>Wick</c:v>
                </c:pt>
                <c:pt idx="11">
                  <c:v>Nelson</c:v>
                </c:pt>
                <c:pt idx="12">
                  <c:v>Majoro</c:v>
                </c:pt>
                <c:pt idx="13">
                  <c:v>Dovin</c:v>
                </c:pt>
                <c:pt idx="14">
                  <c:v>Stone</c:v>
                </c:pt>
                <c:pt idx="15">
                  <c:v>Hamilton</c:v>
                </c:pt>
                <c:pt idx="16">
                  <c:v>Hazard</c:v>
                </c:pt>
                <c:pt idx="17">
                  <c:v>Robertson</c:v>
                </c:pt>
                <c:pt idx="18">
                  <c:v>Dladla</c:v>
                </c:pt>
                <c:pt idx="19">
                  <c:v>Weston</c:v>
                </c:pt>
              </c:strCache>
            </c:strRef>
          </c:cat>
          <c:val>
            <c:numRef>
              <c:f>Sheet1!$AC$4:$AC$23</c:f>
              <c:numCache>
                <c:formatCode>General</c:formatCode>
                <c:ptCount val="20"/>
                <c:pt idx="0">
                  <c:v>69.599999999999994</c:v>
                </c:pt>
                <c:pt idx="1">
                  <c:v>72.8</c:v>
                </c:pt>
                <c:pt idx="2">
                  <c:v>76.599999999999994</c:v>
                </c:pt>
                <c:pt idx="3">
                  <c:v>80.599999999999994</c:v>
                </c:pt>
                <c:pt idx="4">
                  <c:v>74.400000000000006</c:v>
                </c:pt>
                <c:pt idx="5">
                  <c:v>69.400000000000006</c:v>
                </c:pt>
                <c:pt idx="6">
                  <c:v>68.8</c:v>
                </c:pt>
                <c:pt idx="7">
                  <c:v>79.2</c:v>
                </c:pt>
                <c:pt idx="8">
                  <c:v>78.400000000000006</c:v>
                </c:pt>
                <c:pt idx="9">
                  <c:v>69.400000000000006</c:v>
                </c:pt>
                <c:pt idx="10">
                  <c:v>80.400000000000006</c:v>
                </c:pt>
                <c:pt idx="11">
                  <c:v>77.599999999999994</c:v>
                </c:pt>
                <c:pt idx="12">
                  <c:v>63.8</c:v>
                </c:pt>
                <c:pt idx="13">
                  <c:v>66.400000000000006</c:v>
                </c:pt>
                <c:pt idx="14">
                  <c:v>78.8</c:v>
                </c:pt>
                <c:pt idx="15">
                  <c:v>66</c:v>
                </c:pt>
                <c:pt idx="16">
                  <c:v>76.2</c:v>
                </c:pt>
                <c:pt idx="17">
                  <c:v>66.599999999999994</c:v>
                </c:pt>
                <c:pt idx="18">
                  <c:v>81.8</c:v>
                </c:pt>
                <c:pt idx="19">
                  <c:v>78.8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1-454C-A7E4-C4EFBA1DD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792672"/>
        <c:axId val="246793152"/>
      </c:barChart>
      <c:catAx>
        <c:axId val="24679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93152"/>
        <c:crosses val="autoZero"/>
        <c:auto val="1"/>
        <c:lblAlgn val="ctr"/>
        <c:lblOffset val="100"/>
        <c:noMultiLvlLbl val="0"/>
      </c:catAx>
      <c:valAx>
        <c:axId val="24679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9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1038224</xdr:colOff>
      <xdr:row>28</xdr:row>
      <xdr:rowOff>185737</xdr:rowOff>
    </xdr:from>
    <xdr:to>
      <xdr:col>9</xdr:col>
      <xdr:colOff>219075</xdr:colOff>
      <xdr:row>48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09BDF6-523D-8C33-2E9C-B9B2461B9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14287</xdr:rowOff>
    </xdr:from>
    <xdr:to>
      <xdr:col>14</xdr:col>
      <xdr:colOff>1057275</xdr:colOff>
      <xdr:row>43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758FAD-396E-CFE3-06A0-4142C50B6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AKHWEZI MALUSI" refreshedDate="45898.76777766204" createdVersion="8" refreshedVersion="8" minRefreshableVersion="3" recordCount="25" xr:uid="{A4837F72-ECC6-4A22-BAF6-F75C77B04645}">
  <cacheSource type="worksheet">
    <worksheetSource ref="A3:AE28" sheet="Sheet1"/>
  </cacheSource>
  <cacheFields count="31">
    <cacheField name="First Name" numFmtId="0">
      <sharedItems containsBlank="1"/>
    </cacheField>
    <cacheField name="Last Name" numFmtId="0">
      <sharedItems containsBlank="1" count="21">
        <s v="Reedy"/>
        <s v="Nsika"/>
        <s v="Mark"/>
        <s v="Dlomo"/>
        <s v="Mikaelson"/>
        <s v="Mofokeng"/>
        <s v="Bell"/>
        <s v="Addams"/>
        <s v="Van Wik"/>
        <s v="Zuma"/>
        <s v="Wick"/>
        <s v="Nelson"/>
        <s v="Majoro"/>
        <s v="Dovin"/>
        <s v="Stone"/>
        <s v="Hamilton"/>
        <s v="Hazard"/>
        <s v="Robertson"/>
        <s v="Dladla"/>
        <s v="Weston"/>
        <m/>
      </sharedItems>
    </cacheField>
    <cacheField name="English" numFmtId="0">
      <sharedItems containsString="0" containsBlank="1" containsNumber="1" minValue="0" maxValue="96"/>
    </cacheField>
    <cacheField name="Mathematics" numFmtId="0">
      <sharedItems containsString="0" containsBlank="1" containsNumber="1" minValue="2" maxValue="78"/>
    </cacheField>
    <cacheField name="Physical Science" numFmtId="0">
      <sharedItems containsString="0" containsBlank="1" containsNumber="1" minValue="0" maxValue="94"/>
    </cacheField>
    <cacheField name="Accounting" numFmtId="0">
      <sharedItems containsString="0" containsBlank="1" containsNumber="1" minValue="4" maxValue="84"/>
    </cacheField>
    <cacheField name="Life Orientation" numFmtId="0">
      <sharedItems containsString="0" containsBlank="1" containsNumber="1" minValue="0" maxValue="100"/>
    </cacheField>
    <cacheField name="Learners Average" numFmtId="0">
      <sharedItems containsString="0" containsBlank="1" containsNumber="1" minValue="15" maxValue="81"/>
    </cacheField>
    <cacheField name="Pass / Fail" numFmtId="0">
      <sharedItems containsBlank="1"/>
    </cacheField>
    <cacheField name="English2" numFmtId="0">
      <sharedItems containsString="0" containsBlank="1" containsNumber="1" minValue="4" maxValue="99"/>
    </cacheField>
    <cacheField name="Mathematics2" numFmtId="0">
      <sharedItems containsString="0" containsBlank="1" containsNumber="1" minValue="6" maxValue="94"/>
    </cacheField>
    <cacheField name="Physical Science2" numFmtId="0">
      <sharedItems containsString="0" containsBlank="1" containsNumber="1" minValue="3" maxValue="98"/>
    </cacheField>
    <cacheField name="Accounting2" numFmtId="0">
      <sharedItems containsString="0" containsBlank="1" containsNumber="1" minValue="2" maxValue="87"/>
    </cacheField>
    <cacheField name="Life orientaion" numFmtId="0">
      <sharedItems containsString="0" containsBlank="1" containsNumber="1" minValue="0" maxValue="98"/>
    </cacheField>
    <cacheField name="Learners Average2" numFmtId="0">
      <sharedItems containsString="0" containsBlank="1" containsNumber="1" minValue="21" maxValue="76.8"/>
    </cacheField>
    <cacheField name="Pass / Fail2" numFmtId="0">
      <sharedItems containsBlank="1"/>
    </cacheField>
    <cacheField name="English3" numFmtId="0">
      <sharedItems containsString="0" containsBlank="1" containsNumber="1" minValue="2" maxValue="98"/>
    </cacheField>
    <cacheField name="Mathematics3" numFmtId="0">
      <sharedItems containsString="0" containsBlank="1" containsNumber="1" minValue="4" maxValue="96"/>
    </cacheField>
    <cacheField name="Physical Science3" numFmtId="0">
      <sharedItems containsString="0" containsBlank="1" containsNumber="1" minValue="8" maxValue="99"/>
    </cacheField>
    <cacheField name="Accounting3" numFmtId="0">
      <sharedItems containsString="0" containsBlank="1" containsNumber="1" minValue="5" maxValue="84"/>
    </cacheField>
    <cacheField name="Art" numFmtId="0">
      <sharedItems containsString="0" containsBlank="1" containsNumber="1" minValue="0" maxValue="95"/>
    </cacheField>
    <cacheField name="Learners Average3" numFmtId="0">
      <sharedItems containsString="0" containsBlank="1" containsNumber="1" minValue="19" maxValue="82.6"/>
    </cacheField>
    <cacheField name="Pass / Fail3" numFmtId="0">
      <sharedItems containsBlank="1"/>
    </cacheField>
    <cacheField name="English4" numFmtId="0">
      <sharedItems containsString="0" containsBlank="1" containsNumber="1" minValue="2" maxValue="100"/>
    </cacheField>
    <cacheField name="Mathematics4" numFmtId="0">
      <sharedItems containsString="0" containsBlank="1" containsNumber="1" minValue="3" maxValue="98"/>
    </cacheField>
    <cacheField name="Physical Science4" numFmtId="0">
      <sharedItems containsString="0" containsBlank="1" containsNumber="1" minValue="2" maxValue="95"/>
    </cacheField>
    <cacheField name="Accounting4" numFmtId="0">
      <sharedItems containsString="0" containsBlank="1" containsNumber="1" minValue="0" maxValue="97"/>
    </cacheField>
    <cacheField name="Art2" numFmtId="0">
      <sharedItems containsString="0" containsBlank="1" containsNumber="1" minValue="0" maxValue="96"/>
    </cacheField>
    <cacheField name="Learners Average4" numFmtId="0">
      <sharedItems containsString="0" containsBlank="1" containsNumber="1" minValue="7" maxValue="81.8"/>
    </cacheField>
    <cacheField name="Pass / Fail4" numFmtId="0">
      <sharedItems containsBlank="1" count="3">
        <b v="0"/>
        <b v="1"/>
        <m/>
      </sharedItems>
    </cacheField>
    <cacheField name="Grand Year Average" numFmtId="0">
      <sharedItems containsString="0" containsBlank="1" containsNumber="1" minValue="63.6" maxValue="78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Onika"/>
    <x v="0"/>
    <n v="90"/>
    <n v="44"/>
    <n v="62"/>
    <n v="59"/>
    <n v="90"/>
    <n v="69"/>
    <b v="1"/>
    <n v="54"/>
    <n v="78"/>
    <n v="89"/>
    <n v="54"/>
    <n v="80"/>
    <n v="71"/>
    <b v="0"/>
    <n v="78"/>
    <n v="81"/>
    <n v="83"/>
    <n v="71"/>
    <n v="92"/>
    <n v="81"/>
    <b v="0"/>
    <n v="58"/>
    <n v="72"/>
    <n v="50"/>
    <n v="93"/>
    <n v="75"/>
    <n v="69.599999999999994"/>
    <x v="0"/>
    <n v="72.650000000000006"/>
  </r>
  <r>
    <s v="Thato"/>
    <x v="1"/>
    <n v="67"/>
    <n v="51"/>
    <n v="70"/>
    <n v="47"/>
    <n v="80"/>
    <n v="63"/>
    <b v="1"/>
    <n v="62"/>
    <n v="61"/>
    <n v="44"/>
    <n v="43"/>
    <n v="80"/>
    <n v="58"/>
    <b v="1"/>
    <n v="51"/>
    <n v="85"/>
    <n v="40"/>
    <n v="49"/>
    <n v="88"/>
    <n v="62.6"/>
    <b v="1"/>
    <n v="48"/>
    <n v="74"/>
    <n v="51"/>
    <n v="97"/>
    <n v="94"/>
    <n v="72.8"/>
    <x v="1"/>
    <n v="64.099999999999994"/>
  </r>
  <r>
    <s v="Louise"/>
    <x v="2"/>
    <n v="73"/>
    <n v="56"/>
    <n v="94"/>
    <n v="62"/>
    <n v="95"/>
    <n v="76"/>
    <b v="0"/>
    <n v="42"/>
    <n v="22"/>
    <n v="46"/>
    <n v="66"/>
    <n v="90"/>
    <n v="53.2"/>
    <b v="1"/>
    <n v="46"/>
    <n v="54"/>
    <n v="38"/>
    <n v="72"/>
    <n v="92"/>
    <n v="60.4"/>
    <b v="1"/>
    <n v="60"/>
    <n v="68"/>
    <n v="86"/>
    <n v="94"/>
    <n v="75"/>
    <n v="76.599999999999994"/>
    <x v="0"/>
    <n v="66.55"/>
  </r>
  <r>
    <s v="Siyabonga"/>
    <x v="3"/>
    <n v="65"/>
    <n v="49"/>
    <n v="79"/>
    <n v="76"/>
    <n v="68"/>
    <n v="67.400000000000006"/>
    <b v="1"/>
    <n v="37"/>
    <n v="79"/>
    <n v="68"/>
    <n v="44"/>
    <n v="70"/>
    <n v="59.6"/>
    <b v="1"/>
    <n v="98"/>
    <n v="67"/>
    <n v="42"/>
    <n v="76"/>
    <n v="78"/>
    <n v="72.2"/>
    <b v="1"/>
    <n v="96"/>
    <n v="62"/>
    <n v="92"/>
    <n v="75"/>
    <n v="78"/>
    <n v="80.599999999999994"/>
    <x v="0"/>
    <n v="69.949999999999989"/>
  </r>
  <r>
    <s v="Charlene"/>
    <x v="4"/>
    <n v="64"/>
    <n v="37"/>
    <n v="85"/>
    <n v="47"/>
    <n v="85"/>
    <n v="63.6"/>
    <b v="1"/>
    <n v="85"/>
    <n v="34"/>
    <n v="51"/>
    <n v="58"/>
    <n v="82"/>
    <n v="62"/>
    <b v="1"/>
    <n v="44"/>
    <n v="37"/>
    <n v="79"/>
    <n v="34"/>
    <n v="78"/>
    <n v="54.4"/>
    <b v="1"/>
    <n v="55"/>
    <n v="82"/>
    <n v="91"/>
    <n v="64"/>
    <n v="80"/>
    <n v="74.400000000000006"/>
    <x v="0"/>
    <n v="63.6"/>
  </r>
  <r>
    <s v="Kamohelo"/>
    <x v="5"/>
    <n v="85"/>
    <n v="60"/>
    <n v="87"/>
    <n v="64"/>
    <n v="82"/>
    <n v="75.599999999999994"/>
    <b v="0"/>
    <n v="64"/>
    <n v="71"/>
    <n v="63"/>
    <n v="26"/>
    <n v="78"/>
    <n v="60.4"/>
    <b v="1"/>
    <n v="73"/>
    <n v="44"/>
    <n v="94"/>
    <n v="75"/>
    <n v="95"/>
    <n v="76.2"/>
    <b v="1"/>
    <n v="50"/>
    <n v="43"/>
    <n v="80"/>
    <n v="82"/>
    <n v="92"/>
    <n v="69.400000000000006"/>
    <x v="1"/>
    <n v="70.400000000000006"/>
  </r>
  <r>
    <s v="Dre"/>
    <x v="6"/>
    <n v="64"/>
    <n v="30"/>
    <n v="66"/>
    <n v="79"/>
    <n v="99"/>
    <n v="67.599999999999994"/>
    <b v="1"/>
    <n v="50"/>
    <n v="52"/>
    <n v="69"/>
    <n v="52"/>
    <n v="98"/>
    <n v="64.2"/>
    <b v="0"/>
    <n v="53"/>
    <n v="96"/>
    <n v="98"/>
    <n v="84"/>
    <n v="80"/>
    <n v="82.2"/>
    <b v="0"/>
    <n v="73"/>
    <n v="65"/>
    <n v="65"/>
    <n v="53"/>
    <n v="88"/>
    <n v="68.8"/>
    <x v="0"/>
    <n v="70.7"/>
  </r>
  <r>
    <s v="Harmony"/>
    <x v="7"/>
    <n v="82"/>
    <n v="53"/>
    <n v="63"/>
    <n v="55"/>
    <n v="95"/>
    <n v="69.599999999999994"/>
    <b v="0"/>
    <n v="99"/>
    <n v="66"/>
    <n v="54"/>
    <n v="56"/>
    <n v="98"/>
    <n v="74.599999999999994"/>
    <b v="0"/>
    <n v="80"/>
    <n v="41"/>
    <n v="76"/>
    <n v="48"/>
    <n v="75"/>
    <n v="64"/>
    <b v="1"/>
    <n v="82"/>
    <n v="67"/>
    <n v="87"/>
    <n v="75"/>
    <n v="85"/>
    <n v="79.2"/>
    <x v="0"/>
    <n v="71.849999999999994"/>
  </r>
  <r>
    <s v="John"/>
    <x v="8"/>
    <n v="65"/>
    <n v="50"/>
    <n v="74"/>
    <n v="45"/>
    <n v="88"/>
    <n v="64.400000000000006"/>
    <b v="1"/>
    <n v="64"/>
    <n v="77"/>
    <n v="38"/>
    <n v="30"/>
    <n v="75"/>
    <n v="56.8"/>
    <b v="1"/>
    <n v="65"/>
    <n v="92"/>
    <n v="37"/>
    <n v="52"/>
    <n v="78"/>
    <n v="64.8"/>
    <b v="1"/>
    <n v="100"/>
    <n v="53"/>
    <n v="68"/>
    <n v="75"/>
    <n v="96"/>
    <n v="78.400000000000006"/>
    <x v="0"/>
    <n v="66.099999999999994"/>
  </r>
  <r>
    <s v="Nhlanhla"/>
    <x v="9"/>
    <n v="87"/>
    <n v="39"/>
    <n v="74"/>
    <n v="47"/>
    <n v="99"/>
    <n v="69.2"/>
    <b v="1"/>
    <n v="78"/>
    <n v="31"/>
    <n v="65"/>
    <n v="25"/>
    <n v="90"/>
    <n v="57.8"/>
    <b v="1"/>
    <n v="67"/>
    <n v="40"/>
    <n v="69"/>
    <n v="78"/>
    <n v="76"/>
    <n v="66"/>
    <b v="1"/>
    <n v="69"/>
    <n v="89"/>
    <n v="44"/>
    <n v="65"/>
    <n v="80"/>
    <n v="69.400000000000006"/>
    <x v="1"/>
    <n v="65.599999999999994"/>
  </r>
  <r>
    <s v="Rose"/>
    <x v="10"/>
    <n v="65"/>
    <n v="31"/>
    <n v="76"/>
    <n v="54"/>
    <n v="78"/>
    <n v="60.8"/>
    <b v="1"/>
    <n v="45"/>
    <n v="69"/>
    <n v="91"/>
    <n v="23"/>
    <n v="78"/>
    <n v="61.2"/>
    <b v="1"/>
    <n v="75"/>
    <n v="71"/>
    <n v="63"/>
    <n v="6"/>
    <n v="70"/>
    <n v="57"/>
    <b v="1"/>
    <n v="95"/>
    <n v="78"/>
    <n v="95"/>
    <n v="55"/>
    <n v="79"/>
    <n v="80.400000000000006"/>
    <x v="0"/>
    <n v="64.849999999999994"/>
  </r>
  <r>
    <s v="Aurora"/>
    <x v="11"/>
    <n v="76"/>
    <n v="78"/>
    <n v="87"/>
    <n v="52"/>
    <n v="90"/>
    <n v="76.599999999999994"/>
    <b v="0"/>
    <n v="60"/>
    <n v="24"/>
    <n v="88"/>
    <n v="87"/>
    <n v="78"/>
    <n v="67.400000000000006"/>
    <b v="1"/>
    <n v="76"/>
    <n v="55"/>
    <n v="56"/>
    <n v="53"/>
    <n v="82"/>
    <n v="64.400000000000006"/>
    <b v="0"/>
    <n v="56"/>
    <n v="98"/>
    <n v="88"/>
    <n v="65"/>
    <n v="81"/>
    <n v="77.599999999999994"/>
    <x v="0"/>
    <n v="71.5"/>
  </r>
  <r>
    <s v="Bokamoso"/>
    <x v="12"/>
    <n v="79"/>
    <n v="33"/>
    <n v="68"/>
    <n v="72"/>
    <n v="85"/>
    <n v="67.400000000000006"/>
    <b v="1"/>
    <n v="75"/>
    <n v="78"/>
    <n v="98"/>
    <n v="50"/>
    <n v="82"/>
    <n v="76.599999999999994"/>
    <b v="0"/>
    <n v="80"/>
    <n v="90"/>
    <n v="99"/>
    <n v="50"/>
    <n v="88"/>
    <n v="81.400000000000006"/>
    <b v="0"/>
    <n v="43"/>
    <n v="32"/>
    <n v="76"/>
    <n v="78"/>
    <n v="90"/>
    <n v="63.8"/>
    <x v="1"/>
    <n v="72.3"/>
  </r>
  <r>
    <s v="Fatima"/>
    <x v="13"/>
    <n v="90"/>
    <n v="25"/>
    <n v="80"/>
    <n v="56"/>
    <n v="88"/>
    <n v="67.8"/>
    <b v="1"/>
    <n v="86"/>
    <n v="94"/>
    <n v="75"/>
    <n v="34"/>
    <n v="95"/>
    <n v="76.8"/>
    <b v="1"/>
    <n v="85"/>
    <n v="72"/>
    <n v="46"/>
    <n v="42"/>
    <n v="71"/>
    <n v="63.2"/>
    <b v="1"/>
    <n v="99"/>
    <n v="44"/>
    <n v="45"/>
    <n v="62"/>
    <n v="82"/>
    <n v="66.400000000000006"/>
    <x v="1"/>
    <n v="68.550000000000011"/>
  </r>
  <r>
    <s v="Gloria"/>
    <x v="14"/>
    <n v="95"/>
    <n v="25"/>
    <n v="88"/>
    <n v="64"/>
    <n v="82"/>
    <n v="70.8"/>
    <b v="1"/>
    <n v="45"/>
    <n v="30"/>
    <n v="84"/>
    <n v="70"/>
    <n v="68"/>
    <n v="59.4"/>
    <b v="1"/>
    <n v="73"/>
    <n v="81"/>
    <n v="30"/>
    <n v="61"/>
    <n v="95"/>
    <n v="68"/>
    <b v="1"/>
    <n v="80"/>
    <n v="95"/>
    <n v="61"/>
    <n v="69"/>
    <n v="89"/>
    <n v="78.8"/>
    <x v="0"/>
    <n v="69.25"/>
  </r>
  <r>
    <s v="Issaic"/>
    <x v="15"/>
    <n v="85"/>
    <n v="55"/>
    <n v="60"/>
    <n v="78"/>
    <n v="100"/>
    <n v="75.599999999999994"/>
    <b v="0"/>
    <n v="75"/>
    <n v="89"/>
    <n v="54"/>
    <n v="83"/>
    <n v="80"/>
    <n v="76.2"/>
    <b v="0"/>
    <n v="75"/>
    <n v="76"/>
    <n v="81"/>
    <n v="82"/>
    <n v="68"/>
    <n v="76.400000000000006"/>
    <b v="0"/>
    <n v="64"/>
    <n v="58"/>
    <n v="53"/>
    <n v="80"/>
    <n v="75"/>
    <n v="66"/>
    <x v="0"/>
    <n v="73.550000000000011"/>
  </r>
  <r>
    <s v="Monica"/>
    <x v="16"/>
    <n v="86"/>
    <n v="64"/>
    <n v="66"/>
    <n v="50"/>
    <n v="98"/>
    <n v="72.8"/>
    <b v="0"/>
    <n v="86"/>
    <n v="57"/>
    <n v="83"/>
    <n v="45"/>
    <n v="88"/>
    <n v="71.8"/>
    <b v="1"/>
    <n v="90"/>
    <n v="78"/>
    <n v="49"/>
    <n v="79"/>
    <n v="79"/>
    <n v="75"/>
    <b v="1"/>
    <n v="87"/>
    <n v="85"/>
    <n v="60"/>
    <n v="78"/>
    <n v="71"/>
    <n v="76.2"/>
    <x v="0"/>
    <n v="73.95"/>
  </r>
  <r>
    <s v="Persly"/>
    <x v="17"/>
    <n v="64"/>
    <n v="28"/>
    <n v="69"/>
    <n v="84"/>
    <n v="77"/>
    <n v="64.400000000000006"/>
    <b v="1"/>
    <n v="86"/>
    <n v="25"/>
    <n v="70"/>
    <n v="56"/>
    <n v="90"/>
    <n v="65.400000000000006"/>
    <b v="1"/>
    <n v="71"/>
    <n v="64"/>
    <n v="36"/>
    <n v="55"/>
    <n v="83"/>
    <n v="61.8"/>
    <b v="1"/>
    <n v="68"/>
    <n v="60"/>
    <n v="69"/>
    <n v="60"/>
    <n v="76"/>
    <n v="66.599999999999994"/>
    <x v="0"/>
    <n v="64.550000000000011"/>
  </r>
  <r>
    <s v="Vusi"/>
    <x v="18"/>
    <n v="96"/>
    <n v="41"/>
    <n v="73"/>
    <n v="81"/>
    <n v="95"/>
    <n v="77.2"/>
    <b v="1"/>
    <n v="78"/>
    <n v="87"/>
    <n v="71"/>
    <n v="54"/>
    <n v="75"/>
    <n v="73"/>
    <b v="0"/>
    <n v="81"/>
    <n v="69"/>
    <n v="59"/>
    <n v="64"/>
    <n v="84"/>
    <n v="71.400000000000006"/>
    <b v="0"/>
    <n v="93"/>
    <n v="93"/>
    <n v="78"/>
    <n v="65"/>
    <n v="80"/>
    <n v="81.8"/>
    <x v="0"/>
    <n v="75.849999999999994"/>
  </r>
  <r>
    <s v="Queen"/>
    <x v="19"/>
    <n v="90"/>
    <n v="75"/>
    <n v="82"/>
    <n v="73"/>
    <n v="85"/>
    <n v="81"/>
    <b v="0"/>
    <n v="90"/>
    <n v="74"/>
    <n v="74"/>
    <n v="50"/>
    <n v="71"/>
    <n v="71.8"/>
    <b v="0"/>
    <n v="78"/>
    <n v="95"/>
    <n v="92"/>
    <n v="78"/>
    <n v="70"/>
    <n v="82.6"/>
    <b v="0"/>
    <n v="87"/>
    <n v="73"/>
    <n v="71"/>
    <n v="70"/>
    <n v="93"/>
    <n v="78.8"/>
    <x v="0"/>
    <n v="78.55"/>
  </r>
  <r>
    <m/>
    <x v="20"/>
    <m/>
    <m/>
    <m/>
    <m/>
    <m/>
    <m/>
    <m/>
    <m/>
    <m/>
    <m/>
    <m/>
    <m/>
    <m/>
    <m/>
    <m/>
    <m/>
    <m/>
    <m/>
    <m/>
    <m/>
    <m/>
    <m/>
    <m/>
    <m/>
    <m/>
    <m/>
    <m/>
    <x v="2"/>
    <m/>
  </r>
  <r>
    <s v="Subject Average"/>
    <x v="20"/>
    <n v="78.400000000000006"/>
    <n v="46.2"/>
    <n v="75.150000000000006"/>
    <n v="62.25"/>
    <n v="87.95"/>
    <n v="69.989999999999995"/>
    <m/>
    <n v="68.05"/>
    <n v="59.9"/>
    <n v="68.75"/>
    <n v="50.3"/>
    <n v="82.3"/>
    <n v="65.859999999999985"/>
    <m/>
    <n v="71.95"/>
    <n v="69.400000000000006"/>
    <n v="63.35"/>
    <n v="60.45"/>
    <n v="81.099999999999994"/>
    <n v="69.25"/>
    <m/>
    <n v="73.150000000000006"/>
    <n v="69.55"/>
    <n v="70.5"/>
    <n v="72.75"/>
    <n v="82.95"/>
    <n v="73.779999999999987"/>
    <x v="2"/>
    <m/>
  </r>
  <r>
    <s v="Failed Learnes"/>
    <x v="20"/>
    <n v="0"/>
    <n v="11"/>
    <n v="0"/>
    <n v="4"/>
    <n v="0"/>
    <n v="15"/>
    <m/>
    <n v="4"/>
    <n v="6"/>
    <n v="3"/>
    <n v="8"/>
    <n v="0"/>
    <n v="21"/>
    <m/>
    <n v="2"/>
    <n v="4"/>
    <n v="8"/>
    <n v="5"/>
    <n v="0"/>
    <n v="19"/>
    <m/>
    <n v="2"/>
    <n v="3"/>
    <n v="2"/>
    <n v="0"/>
    <n v="0"/>
    <n v="7"/>
    <x v="2"/>
    <m/>
  </r>
  <r>
    <s v="Learners with distictions"/>
    <x v="20"/>
    <n v="12"/>
    <n v="2"/>
    <n v="9"/>
    <n v="5"/>
    <n v="19"/>
    <n v="47"/>
    <m/>
    <n v="10"/>
    <n v="7"/>
    <n v="7"/>
    <n v="2"/>
    <n v="17"/>
    <n v="43"/>
    <m/>
    <n v="11"/>
    <n v="9"/>
    <n v="8"/>
    <n v="7"/>
    <n v="16"/>
    <n v="51"/>
    <m/>
    <n v="9"/>
    <n v="7"/>
    <n v="9"/>
    <n v="10"/>
    <n v="19"/>
    <n v="54"/>
    <x v="2"/>
    <m/>
  </r>
  <r>
    <s v="Grade Average"/>
    <x v="20"/>
    <n v="69.719999999999985"/>
    <m/>
    <m/>
    <m/>
    <m/>
    <m/>
    <m/>
    <m/>
    <m/>
    <m/>
    <m/>
    <m/>
    <m/>
    <m/>
    <m/>
    <m/>
    <m/>
    <m/>
    <m/>
    <m/>
    <m/>
    <m/>
    <m/>
    <m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0AAFF-BAD7-42DF-A763-D6702861AC87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F25" firstHeaderRow="0" firstDataRow="1" firstDataCol="1"/>
  <pivotFields count="31">
    <pivotField showAll="0"/>
    <pivotField axis="axisRow" showAll="0">
      <items count="22">
        <item x="7"/>
        <item x="6"/>
        <item x="18"/>
        <item x="3"/>
        <item x="13"/>
        <item x="15"/>
        <item x="16"/>
        <item x="12"/>
        <item x="2"/>
        <item x="4"/>
        <item x="5"/>
        <item x="11"/>
        <item x="1"/>
        <item x="0"/>
        <item x="17"/>
        <item x="14"/>
        <item x="8"/>
        <item x="19"/>
        <item x="10"/>
        <item x="9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Grand Year Average" fld="30" baseField="0" baseItem="0"/>
    <dataField name="Sum of Mathematics" fld="3" baseField="0" baseItem="0"/>
    <dataField name="Sum of Mathematics2" fld="10" baseField="0" baseItem="0"/>
    <dataField name="Sum of Mathematics3" fld="17" baseField="0" baseItem="0"/>
    <dataField name="Sum of Mathematics4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2B7E-C65A-4B80-8879-0A69252E2180}">
  <sheetPr>
    <pageSetUpPr fitToPage="1"/>
  </sheetPr>
  <dimension ref="A3:F25"/>
  <sheetViews>
    <sheetView topLeftCell="A6" workbookViewId="0">
      <selection activeCell="F10" sqref="F10"/>
    </sheetView>
  </sheetViews>
  <sheetFormatPr defaultRowHeight="15" x14ac:dyDescent="0.25"/>
  <cols>
    <col min="1" max="1" width="13.42578125" bestFit="1" customWidth="1"/>
    <col min="2" max="2" width="25.7109375" bestFit="1" customWidth="1"/>
    <col min="3" max="3" width="19.5703125" bestFit="1" customWidth="1"/>
    <col min="4" max="6" width="20.5703125" bestFit="1" customWidth="1"/>
  </cols>
  <sheetData>
    <row r="3" spans="1:6" x14ac:dyDescent="0.25">
      <c r="A3" s="12" t="s">
        <v>61</v>
      </c>
      <c r="B3" t="s">
        <v>64</v>
      </c>
      <c r="C3" t="s">
        <v>66</v>
      </c>
      <c r="D3" t="s">
        <v>67</v>
      </c>
      <c r="E3" t="s">
        <v>68</v>
      </c>
      <c r="F3" t="s">
        <v>65</v>
      </c>
    </row>
    <row r="4" spans="1:6" x14ac:dyDescent="0.25">
      <c r="A4" s="13" t="s">
        <v>25</v>
      </c>
      <c r="B4" s="14">
        <v>71.849999999999994</v>
      </c>
      <c r="C4" s="14">
        <v>53</v>
      </c>
      <c r="D4" s="14">
        <v>66</v>
      </c>
      <c r="E4" s="14">
        <v>41</v>
      </c>
      <c r="F4" s="14">
        <v>67</v>
      </c>
    </row>
    <row r="5" spans="1:6" x14ac:dyDescent="0.25">
      <c r="A5" s="13" t="s">
        <v>38</v>
      </c>
      <c r="B5" s="14">
        <v>70.7</v>
      </c>
      <c r="C5" s="14">
        <v>30</v>
      </c>
      <c r="D5" s="14">
        <v>52</v>
      </c>
      <c r="E5" s="14">
        <v>96</v>
      </c>
      <c r="F5" s="14">
        <v>65</v>
      </c>
    </row>
    <row r="6" spans="1:6" x14ac:dyDescent="0.25">
      <c r="A6" s="13" t="s">
        <v>28</v>
      </c>
      <c r="B6" s="14">
        <v>75.849999999999994</v>
      </c>
      <c r="C6" s="14">
        <v>41</v>
      </c>
      <c r="D6" s="14">
        <v>87</v>
      </c>
      <c r="E6" s="14">
        <v>69</v>
      </c>
      <c r="F6" s="14">
        <v>93</v>
      </c>
    </row>
    <row r="7" spans="1:6" x14ac:dyDescent="0.25">
      <c r="A7" s="13" t="s">
        <v>31</v>
      </c>
      <c r="B7" s="14">
        <v>69.949999999999989</v>
      </c>
      <c r="C7" s="14">
        <v>49</v>
      </c>
      <c r="D7" s="14">
        <v>79</v>
      </c>
      <c r="E7" s="14">
        <v>67</v>
      </c>
      <c r="F7" s="14">
        <v>62</v>
      </c>
    </row>
    <row r="8" spans="1:6" x14ac:dyDescent="0.25">
      <c r="A8" s="13" t="s">
        <v>40</v>
      </c>
      <c r="B8" s="14">
        <v>68.550000000000011</v>
      </c>
      <c r="C8" s="14">
        <v>25</v>
      </c>
      <c r="D8" s="14">
        <v>94</v>
      </c>
      <c r="E8" s="14">
        <v>72</v>
      </c>
      <c r="F8" s="14">
        <v>44</v>
      </c>
    </row>
    <row r="9" spans="1:6" x14ac:dyDescent="0.25">
      <c r="A9" s="13" t="s">
        <v>27</v>
      </c>
      <c r="B9" s="14">
        <v>73.550000000000011</v>
      </c>
      <c r="C9" s="14">
        <v>55</v>
      </c>
      <c r="D9" s="14">
        <v>89</v>
      </c>
      <c r="E9" s="14">
        <v>76</v>
      </c>
      <c r="F9" s="14">
        <v>58</v>
      </c>
    </row>
    <row r="10" spans="1:6" x14ac:dyDescent="0.25">
      <c r="A10" s="13" t="s">
        <v>42</v>
      </c>
      <c r="B10" s="14">
        <v>73.95</v>
      </c>
      <c r="C10" s="14">
        <v>64</v>
      </c>
      <c r="D10" s="14">
        <v>57</v>
      </c>
      <c r="E10" s="14">
        <v>78</v>
      </c>
      <c r="F10" s="14">
        <v>85</v>
      </c>
    </row>
    <row r="11" spans="1:6" x14ac:dyDescent="0.25">
      <c r="A11" s="13" t="s">
        <v>26</v>
      </c>
      <c r="B11" s="14">
        <v>72.3</v>
      </c>
      <c r="C11" s="14">
        <v>33</v>
      </c>
      <c r="D11" s="14">
        <v>78</v>
      </c>
      <c r="E11" s="14">
        <v>90</v>
      </c>
      <c r="F11" s="14">
        <v>32</v>
      </c>
    </row>
    <row r="12" spans="1:6" x14ac:dyDescent="0.25">
      <c r="A12" s="13" t="s">
        <v>29</v>
      </c>
      <c r="B12" s="14">
        <v>66.55</v>
      </c>
      <c r="C12" s="14">
        <v>56</v>
      </c>
      <c r="D12" s="14">
        <v>22</v>
      </c>
      <c r="E12" s="14">
        <v>54</v>
      </c>
      <c r="F12" s="14">
        <v>68</v>
      </c>
    </row>
    <row r="13" spans="1:6" x14ac:dyDescent="0.25">
      <c r="A13" s="13" t="s">
        <v>36</v>
      </c>
      <c r="B13" s="14">
        <v>63.6</v>
      </c>
      <c r="C13" s="14">
        <v>37</v>
      </c>
      <c r="D13" s="14">
        <v>34</v>
      </c>
      <c r="E13" s="14">
        <v>37</v>
      </c>
      <c r="F13" s="14">
        <v>82</v>
      </c>
    </row>
    <row r="14" spans="1:6" x14ac:dyDescent="0.25">
      <c r="A14" s="13" t="s">
        <v>37</v>
      </c>
      <c r="B14" s="14">
        <v>70.400000000000006</v>
      </c>
      <c r="C14" s="14">
        <v>60</v>
      </c>
      <c r="D14" s="14">
        <v>71</v>
      </c>
      <c r="E14" s="14">
        <v>44</v>
      </c>
      <c r="F14" s="14">
        <v>43</v>
      </c>
    </row>
    <row r="15" spans="1:6" x14ac:dyDescent="0.25">
      <c r="A15" s="13" t="s">
        <v>39</v>
      </c>
      <c r="B15" s="14">
        <v>71.5</v>
      </c>
      <c r="C15" s="14">
        <v>78</v>
      </c>
      <c r="D15" s="14">
        <v>24</v>
      </c>
      <c r="E15" s="14">
        <v>55</v>
      </c>
      <c r="F15" s="14">
        <v>98</v>
      </c>
    </row>
    <row r="16" spans="1:6" x14ac:dyDescent="0.25">
      <c r="A16" s="13" t="s">
        <v>30</v>
      </c>
      <c r="B16" s="14">
        <v>64.099999999999994</v>
      </c>
      <c r="C16" s="14">
        <v>51</v>
      </c>
      <c r="D16" s="14">
        <v>61</v>
      </c>
      <c r="E16" s="14">
        <v>85</v>
      </c>
      <c r="F16" s="14">
        <v>74</v>
      </c>
    </row>
    <row r="17" spans="1:6" x14ac:dyDescent="0.25">
      <c r="A17" s="13" t="s">
        <v>35</v>
      </c>
      <c r="B17" s="14">
        <v>72.650000000000006</v>
      </c>
      <c r="C17" s="14">
        <v>44</v>
      </c>
      <c r="D17" s="14">
        <v>78</v>
      </c>
      <c r="E17" s="14">
        <v>81</v>
      </c>
      <c r="F17" s="14">
        <v>72</v>
      </c>
    </row>
    <row r="18" spans="1:6" x14ac:dyDescent="0.25">
      <c r="A18" s="13" t="s">
        <v>44</v>
      </c>
      <c r="B18" s="14">
        <v>64.550000000000011</v>
      </c>
      <c r="C18" s="14">
        <v>28</v>
      </c>
      <c r="D18" s="14">
        <v>25</v>
      </c>
      <c r="E18" s="14">
        <v>64</v>
      </c>
      <c r="F18" s="14">
        <v>60</v>
      </c>
    </row>
    <row r="19" spans="1:6" x14ac:dyDescent="0.25">
      <c r="A19" s="13" t="s">
        <v>41</v>
      </c>
      <c r="B19" s="14">
        <v>69.25</v>
      </c>
      <c r="C19" s="14">
        <v>25</v>
      </c>
      <c r="D19" s="14">
        <v>30</v>
      </c>
      <c r="E19" s="14">
        <v>81</v>
      </c>
      <c r="F19" s="14">
        <v>95</v>
      </c>
    </row>
    <row r="20" spans="1:6" x14ac:dyDescent="0.25">
      <c r="A20" s="13" t="s">
        <v>33</v>
      </c>
      <c r="B20" s="14">
        <v>66.099999999999994</v>
      </c>
      <c r="C20" s="14">
        <v>50</v>
      </c>
      <c r="D20" s="14">
        <v>77</v>
      </c>
      <c r="E20" s="14">
        <v>92</v>
      </c>
      <c r="F20" s="14">
        <v>53</v>
      </c>
    </row>
    <row r="21" spans="1:6" x14ac:dyDescent="0.25">
      <c r="A21" s="13" t="s">
        <v>43</v>
      </c>
      <c r="B21" s="14">
        <v>78.55</v>
      </c>
      <c r="C21" s="14">
        <v>75</v>
      </c>
      <c r="D21" s="14">
        <v>74</v>
      </c>
      <c r="E21" s="14">
        <v>95</v>
      </c>
      <c r="F21" s="14">
        <v>73</v>
      </c>
    </row>
    <row r="22" spans="1:6" x14ac:dyDescent="0.25">
      <c r="A22" s="13" t="s">
        <v>32</v>
      </c>
      <c r="B22" s="14">
        <v>64.849999999999994</v>
      </c>
      <c r="C22" s="14">
        <v>31</v>
      </c>
      <c r="D22" s="14">
        <v>69</v>
      </c>
      <c r="E22" s="14">
        <v>71</v>
      </c>
      <c r="F22" s="14">
        <v>78</v>
      </c>
    </row>
    <row r="23" spans="1:6" x14ac:dyDescent="0.25">
      <c r="A23" s="13" t="s">
        <v>34</v>
      </c>
      <c r="B23" s="14">
        <v>65.599999999999994</v>
      </c>
      <c r="C23" s="14">
        <v>39</v>
      </c>
      <c r="D23" s="14">
        <v>31</v>
      </c>
      <c r="E23" s="14">
        <v>40</v>
      </c>
      <c r="F23" s="14">
        <v>89</v>
      </c>
    </row>
    <row r="24" spans="1:6" x14ac:dyDescent="0.25">
      <c r="A24" s="13" t="s">
        <v>62</v>
      </c>
      <c r="B24" s="14"/>
      <c r="C24" s="14">
        <v>59.2</v>
      </c>
      <c r="D24" s="14">
        <v>72.900000000000006</v>
      </c>
      <c r="E24" s="14">
        <v>82.4</v>
      </c>
      <c r="F24" s="14">
        <v>79.55</v>
      </c>
    </row>
    <row r="25" spans="1:6" x14ac:dyDescent="0.25">
      <c r="A25" s="13" t="s">
        <v>63</v>
      </c>
      <c r="B25" s="14">
        <v>1394.3999999999996</v>
      </c>
      <c r="C25" s="14">
        <v>983.2</v>
      </c>
      <c r="D25" s="14">
        <v>1270.9000000000001</v>
      </c>
      <c r="E25" s="14">
        <v>1470.4</v>
      </c>
      <c r="F25" s="14">
        <v>1470.55</v>
      </c>
    </row>
  </sheetData>
  <pageMargins left="0.7" right="0.7" top="0.75" bottom="0.75" header="0.3" footer="0.3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FA0A-8A59-4B39-8B2B-13658F216DBC}">
  <sheetPr>
    <pageSetUpPr fitToPage="1"/>
  </sheetPr>
  <dimension ref="A1:AK28"/>
  <sheetViews>
    <sheetView tabSelected="1" topLeftCell="A3" workbookViewId="0">
      <selection activeCell="A2" sqref="A2:AE28"/>
    </sheetView>
  </sheetViews>
  <sheetFormatPr defaultRowHeight="15" x14ac:dyDescent="0.25"/>
  <cols>
    <col min="1" max="1" width="15.5703125" bestFit="1" customWidth="1"/>
    <col min="2" max="2" width="14.85546875" bestFit="1" customWidth="1"/>
    <col min="4" max="4" width="12.42578125" bestFit="1" customWidth="1"/>
    <col min="5" max="5" width="15.7109375" bestFit="1" customWidth="1"/>
    <col min="6" max="6" width="10.85546875" bestFit="1" customWidth="1"/>
    <col min="7" max="7" width="14.5703125" bestFit="1" customWidth="1"/>
    <col min="8" max="8" width="16" bestFit="1" customWidth="1"/>
    <col min="9" max="9" width="10.140625" bestFit="1" customWidth="1"/>
    <col min="11" max="11" width="12.42578125" bestFit="1" customWidth="1"/>
    <col min="12" max="12" width="15.7109375" bestFit="1" customWidth="1"/>
    <col min="13" max="13" width="10.85546875" bestFit="1" customWidth="1"/>
    <col min="14" max="14" width="13.7109375" bestFit="1" customWidth="1"/>
    <col min="15" max="15" width="16" bestFit="1" customWidth="1"/>
    <col min="16" max="16" width="10.140625" bestFit="1" customWidth="1"/>
    <col min="18" max="18" width="12.42578125" bestFit="1" customWidth="1"/>
    <col min="19" max="19" width="15.7109375" bestFit="1" customWidth="1"/>
    <col min="20" max="20" width="10.85546875" bestFit="1" customWidth="1"/>
    <col min="22" max="22" width="16" bestFit="1" customWidth="1"/>
    <col min="23" max="23" width="10.140625" bestFit="1" customWidth="1"/>
    <col min="25" max="25" width="12.42578125" bestFit="1" customWidth="1"/>
    <col min="26" max="26" width="15.7109375" bestFit="1" customWidth="1"/>
    <col min="27" max="27" width="10.85546875" bestFit="1" customWidth="1"/>
    <col min="29" max="29" width="16" bestFit="1" customWidth="1"/>
    <col min="30" max="30" width="10.140625" bestFit="1" customWidth="1"/>
    <col min="31" max="31" width="18.28515625" bestFit="1" customWidth="1"/>
  </cols>
  <sheetData>
    <row r="1" spans="1:37" x14ac:dyDescent="0.25">
      <c r="A1" t="s">
        <v>0</v>
      </c>
    </row>
    <row r="2" spans="1:37" x14ac:dyDescent="0.25">
      <c r="A2" s="1"/>
      <c r="B2" s="1"/>
      <c r="C2" s="4" t="s">
        <v>45</v>
      </c>
      <c r="D2" s="4"/>
      <c r="E2" s="4"/>
      <c r="F2" s="4"/>
      <c r="G2" s="4"/>
      <c r="H2" s="4"/>
      <c r="I2" s="4"/>
      <c r="J2" s="5" t="s">
        <v>50</v>
      </c>
      <c r="K2" s="5"/>
      <c r="L2" s="5"/>
      <c r="M2" s="5"/>
      <c r="N2" s="5"/>
      <c r="O2" s="5"/>
      <c r="P2" s="5"/>
      <c r="Q2" s="2" t="s">
        <v>3</v>
      </c>
      <c r="R2" s="2"/>
      <c r="S2" s="2"/>
      <c r="T2" s="2"/>
      <c r="U2" s="2"/>
      <c r="V2" s="2"/>
      <c r="W2" s="2"/>
      <c r="X2" s="3" t="s">
        <v>4</v>
      </c>
      <c r="Y2" s="3"/>
      <c r="Z2" s="3"/>
      <c r="AA2" s="3"/>
      <c r="AB2" s="3"/>
      <c r="AC2" s="3"/>
      <c r="AD2" s="9"/>
      <c r="AE2" s="10"/>
      <c r="AF2" s="8"/>
      <c r="AG2" s="8"/>
      <c r="AH2" s="8"/>
      <c r="AI2" s="8"/>
      <c r="AJ2" s="8"/>
      <c r="AK2" s="8"/>
    </row>
    <row r="3" spans="1:37" x14ac:dyDescent="0.25">
      <c r="A3" s="1" t="s">
        <v>1</v>
      </c>
      <c r="B3" s="1" t="s">
        <v>2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56</v>
      </c>
      <c r="H3" s="4" t="s">
        <v>51</v>
      </c>
      <c r="I3" s="4" t="s">
        <v>54</v>
      </c>
      <c r="J3" s="5" t="s">
        <v>46</v>
      </c>
      <c r="K3" s="5" t="s">
        <v>47</v>
      </c>
      <c r="L3" s="5" t="s">
        <v>48</v>
      </c>
      <c r="M3" s="5" t="s">
        <v>49</v>
      </c>
      <c r="N3" s="5" t="s">
        <v>57</v>
      </c>
      <c r="O3" s="5" t="s">
        <v>51</v>
      </c>
      <c r="P3" s="5" t="s">
        <v>54</v>
      </c>
      <c r="Q3" s="2" t="s">
        <v>46</v>
      </c>
      <c r="R3" s="2" t="s">
        <v>47</v>
      </c>
      <c r="S3" s="2" t="s">
        <v>48</v>
      </c>
      <c r="T3" s="2" t="s">
        <v>49</v>
      </c>
      <c r="U3" s="2" t="s">
        <v>55</v>
      </c>
      <c r="V3" s="2" t="s">
        <v>51</v>
      </c>
      <c r="W3" s="2" t="s">
        <v>54</v>
      </c>
      <c r="X3" s="3" t="s">
        <v>46</v>
      </c>
      <c r="Y3" s="3" t="s">
        <v>47</v>
      </c>
      <c r="Z3" s="3" t="s">
        <v>48</v>
      </c>
      <c r="AA3" s="3" t="s">
        <v>49</v>
      </c>
      <c r="AB3" s="3" t="s">
        <v>55</v>
      </c>
      <c r="AC3" s="3" t="s">
        <v>51</v>
      </c>
      <c r="AD3" s="9" t="s">
        <v>54</v>
      </c>
      <c r="AE3" s="10" t="s">
        <v>60</v>
      </c>
      <c r="AF3" s="8"/>
      <c r="AG3" s="8"/>
      <c r="AH3" s="8"/>
      <c r="AI3" s="8"/>
      <c r="AJ3" s="8"/>
      <c r="AK3" s="8"/>
    </row>
    <row r="4" spans="1:37" x14ac:dyDescent="0.25">
      <c r="A4" s="1" t="s">
        <v>5</v>
      </c>
      <c r="B4" s="1" t="s">
        <v>35</v>
      </c>
      <c r="C4" s="4">
        <v>90</v>
      </c>
      <c r="D4" s="4">
        <v>44</v>
      </c>
      <c r="E4" s="4">
        <v>62</v>
      </c>
      <c r="F4" s="4">
        <v>59</v>
      </c>
      <c r="G4" s="4">
        <v>90</v>
      </c>
      <c r="H4" s="4">
        <f>AVERAGE(C4,D4,E4,F4,G4)</f>
        <v>69</v>
      </c>
      <c r="I4" s="4" t="b">
        <f>OR(C4&lt;50,D4&lt;50,E4&lt;50,F4&lt;50,G4&lt;50)</f>
        <v>1</v>
      </c>
      <c r="J4" s="5">
        <v>54</v>
      </c>
      <c r="K4" s="5">
        <v>78</v>
      </c>
      <c r="L4" s="5">
        <v>89</v>
      </c>
      <c r="M4" s="5">
        <v>54</v>
      </c>
      <c r="N4" s="5">
        <v>80</v>
      </c>
      <c r="O4" s="5">
        <f>AVERAGE(J4,K4,L4,M4,N4)</f>
        <v>71</v>
      </c>
      <c r="P4" s="5" t="b">
        <f>OR(J4&lt;50,K4&lt;50,L4&lt;50,M4&lt;50,N4&lt;50)</f>
        <v>0</v>
      </c>
      <c r="Q4" s="2">
        <v>78</v>
      </c>
      <c r="R4" s="2">
        <v>81</v>
      </c>
      <c r="S4" s="2">
        <v>83</v>
      </c>
      <c r="T4" s="2">
        <v>71</v>
      </c>
      <c r="U4" s="2">
        <v>92</v>
      </c>
      <c r="V4" s="2">
        <f>AVERAGE(Q4,R4,S4,T4,U4)</f>
        <v>81</v>
      </c>
      <c r="W4" s="2" t="b">
        <f>OR(Q4&lt;50,R4&lt;50,S4&lt;50,T4&lt;50,U4&lt;50)</f>
        <v>0</v>
      </c>
      <c r="X4" s="3">
        <v>58</v>
      </c>
      <c r="Y4" s="3">
        <v>72</v>
      </c>
      <c r="Z4" s="3">
        <v>50</v>
      </c>
      <c r="AA4" s="3">
        <v>93</v>
      </c>
      <c r="AB4" s="3">
        <v>75</v>
      </c>
      <c r="AC4" s="3">
        <f>AVERAGE(X4,Y4,Z4,AA4,AB4)</f>
        <v>69.599999999999994</v>
      </c>
      <c r="AD4" s="9" t="b">
        <f>OR(X4&lt;50,Y4&lt;50,Z4&lt;50,AA4&lt;50,AB4&lt;50)</f>
        <v>0</v>
      </c>
      <c r="AE4" s="10">
        <f>AVERAGE(H4,O4,V4,AC4)</f>
        <v>72.650000000000006</v>
      </c>
      <c r="AF4" s="8"/>
      <c r="AG4" s="8"/>
      <c r="AH4" s="8"/>
      <c r="AI4" s="8"/>
      <c r="AJ4" s="8"/>
      <c r="AK4" s="8"/>
    </row>
    <row r="5" spans="1:37" x14ac:dyDescent="0.25">
      <c r="A5" s="1" t="s">
        <v>6</v>
      </c>
      <c r="B5" s="1" t="s">
        <v>30</v>
      </c>
      <c r="C5" s="4">
        <v>67</v>
      </c>
      <c r="D5" s="4">
        <v>51</v>
      </c>
      <c r="E5" s="4">
        <v>70</v>
      </c>
      <c r="F5" s="4">
        <v>47</v>
      </c>
      <c r="G5" s="4">
        <v>80</v>
      </c>
      <c r="H5" s="4">
        <f t="shared" ref="H5:H23" si="0">AVERAGE(C5,D5,E5,F5,G5)</f>
        <v>63</v>
      </c>
      <c r="I5" s="4" t="b">
        <f t="shared" ref="I5:I23" si="1">OR(C5&lt;50,D5&lt;50,E5&lt;50,F5&lt;50,G5&lt;50)</f>
        <v>1</v>
      </c>
      <c r="J5" s="5">
        <v>62</v>
      </c>
      <c r="K5" s="5">
        <v>61</v>
      </c>
      <c r="L5" s="5">
        <v>44</v>
      </c>
      <c r="M5" s="5">
        <v>43</v>
      </c>
      <c r="N5" s="5">
        <v>80</v>
      </c>
      <c r="O5" s="5">
        <f t="shared" ref="O5:O23" si="2">AVERAGE(J5,K5,L5,M5,N5)</f>
        <v>58</v>
      </c>
      <c r="P5" s="5" t="b">
        <f t="shared" ref="P5:P23" si="3">OR(J5&lt;50,K5&lt;50,L5&lt;50,M5&lt;50,N5&lt;50)</f>
        <v>1</v>
      </c>
      <c r="Q5" s="2">
        <v>51</v>
      </c>
      <c r="R5" s="2">
        <v>85</v>
      </c>
      <c r="S5" s="2">
        <v>40</v>
      </c>
      <c r="T5" s="2">
        <v>49</v>
      </c>
      <c r="U5" s="2">
        <v>88</v>
      </c>
      <c r="V5" s="2">
        <f t="shared" ref="V5:V23" si="4">AVERAGE(Q5,R5,S5,T5,U5)</f>
        <v>62.6</v>
      </c>
      <c r="W5" s="2" t="b">
        <f t="shared" ref="W5:W23" si="5">OR(Q5&lt;50,R5&lt;50,S5&lt;50,T5&lt;50,U5&lt;50)</f>
        <v>1</v>
      </c>
      <c r="X5" s="3">
        <v>48</v>
      </c>
      <c r="Y5" s="3">
        <v>74</v>
      </c>
      <c r="Z5" s="3">
        <v>51</v>
      </c>
      <c r="AA5" s="3">
        <v>97</v>
      </c>
      <c r="AB5" s="3">
        <v>94</v>
      </c>
      <c r="AC5" s="3">
        <f>AVERAGE(X5,Y5,Z5,AA5,AB5)</f>
        <v>72.8</v>
      </c>
      <c r="AD5" s="9" t="b">
        <f>OR(X5&lt;50,Y5&lt;50,Z5&lt;50,AA5&lt;50,AB5&lt;50)</f>
        <v>1</v>
      </c>
      <c r="AE5" s="10">
        <f>AVERAGE(H5,O5,V5,AC5)</f>
        <v>64.099999999999994</v>
      </c>
      <c r="AF5" s="8"/>
      <c r="AG5" s="8"/>
      <c r="AH5" s="8"/>
      <c r="AI5" s="8"/>
      <c r="AJ5" s="8"/>
      <c r="AK5" s="8"/>
    </row>
    <row r="6" spans="1:37" x14ac:dyDescent="0.25">
      <c r="A6" s="1" t="s">
        <v>7</v>
      </c>
      <c r="B6" s="1" t="s">
        <v>29</v>
      </c>
      <c r="C6" s="4">
        <v>73</v>
      </c>
      <c r="D6" s="4">
        <v>56</v>
      </c>
      <c r="E6" s="4">
        <v>94</v>
      </c>
      <c r="F6" s="4">
        <v>62</v>
      </c>
      <c r="G6" s="4">
        <v>95</v>
      </c>
      <c r="H6" s="4">
        <f t="shared" si="0"/>
        <v>76</v>
      </c>
      <c r="I6" s="4" t="b">
        <f t="shared" si="1"/>
        <v>0</v>
      </c>
      <c r="J6" s="5">
        <v>42</v>
      </c>
      <c r="K6" s="5">
        <v>22</v>
      </c>
      <c r="L6" s="5">
        <v>46</v>
      </c>
      <c r="M6" s="5">
        <v>66</v>
      </c>
      <c r="N6" s="5">
        <v>90</v>
      </c>
      <c r="O6" s="5">
        <f t="shared" si="2"/>
        <v>53.2</v>
      </c>
      <c r="P6" s="5" t="b">
        <f t="shared" si="3"/>
        <v>1</v>
      </c>
      <c r="Q6" s="2">
        <v>46</v>
      </c>
      <c r="R6" s="2">
        <v>54</v>
      </c>
      <c r="S6" s="2">
        <v>38</v>
      </c>
      <c r="T6" s="2">
        <v>72</v>
      </c>
      <c r="U6" s="2">
        <v>92</v>
      </c>
      <c r="V6" s="2">
        <f t="shared" si="4"/>
        <v>60.4</v>
      </c>
      <c r="W6" s="2" t="b">
        <f t="shared" si="5"/>
        <v>1</v>
      </c>
      <c r="X6" s="3">
        <v>60</v>
      </c>
      <c r="Y6" s="3">
        <v>68</v>
      </c>
      <c r="Z6" s="3">
        <v>86</v>
      </c>
      <c r="AA6" s="3">
        <v>94</v>
      </c>
      <c r="AB6" s="3">
        <v>75</v>
      </c>
      <c r="AC6" s="3">
        <f>AVERAGE(X6,Y6,Z6,AA6,AB6)</f>
        <v>76.599999999999994</v>
      </c>
      <c r="AD6" s="9" t="b">
        <f>OR(X6&lt;50,Y6&lt;50,Z6&lt;50,AA6&lt;50,AB6&lt;50)</f>
        <v>0</v>
      </c>
      <c r="AE6" s="10">
        <f>AVERAGE(H6,O6,V6,AC6)</f>
        <v>66.55</v>
      </c>
      <c r="AF6" s="8"/>
      <c r="AG6" s="8"/>
      <c r="AH6" s="8"/>
      <c r="AI6" s="8"/>
      <c r="AJ6" s="8"/>
      <c r="AK6" s="8"/>
    </row>
    <row r="7" spans="1:37" x14ac:dyDescent="0.25">
      <c r="A7" s="1" t="s">
        <v>8</v>
      </c>
      <c r="B7" s="1" t="s">
        <v>31</v>
      </c>
      <c r="C7" s="4">
        <v>65</v>
      </c>
      <c r="D7" s="4">
        <v>49</v>
      </c>
      <c r="E7" s="4">
        <v>79</v>
      </c>
      <c r="F7" s="4">
        <v>76</v>
      </c>
      <c r="G7" s="4">
        <v>68</v>
      </c>
      <c r="H7" s="4">
        <f t="shared" si="0"/>
        <v>67.400000000000006</v>
      </c>
      <c r="I7" s="4" t="b">
        <f t="shared" si="1"/>
        <v>1</v>
      </c>
      <c r="J7" s="5">
        <v>37</v>
      </c>
      <c r="K7" s="5">
        <v>79</v>
      </c>
      <c r="L7" s="5">
        <v>68</v>
      </c>
      <c r="M7" s="5">
        <v>44</v>
      </c>
      <c r="N7" s="5">
        <v>70</v>
      </c>
      <c r="O7" s="5">
        <f t="shared" si="2"/>
        <v>59.6</v>
      </c>
      <c r="P7" s="5" t="b">
        <f t="shared" si="3"/>
        <v>1</v>
      </c>
      <c r="Q7" s="2">
        <v>98</v>
      </c>
      <c r="R7" s="2">
        <v>67</v>
      </c>
      <c r="S7" s="2">
        <v>42</v>
      </c>
      <c r="T7" s="2">
        <v>76</v>
      </c>
      <c r="U7" s="2">
        <v>78</v>
      </c>
      <c r="V7" s="2">
        <f t="shared" si="4"/>
        <v>72.2</v>
      </c>
      <c r="W7" s="2" t="b">
        <f t="shared" si="5"/>
        <v>1</v>
      </c>
      <c r="X7" s="3">
        <v>96</v>
      </c>
      <c r="Y7" s="3">
        <v>62</v>
      </c>
      <c r="Z7" s="3">
        <v>92</v>
      </c>
      <c r="AA7" s="3">
        <v>75</v>
      </c>
      <c r="AB7" s="3">
        <v>78</v>
      </c>
      <c r="AC7" s="3">
        <f>AVERAGE(X7,Y7,Z7,AA7,AB7)</f>
        <v>80.599999999999994</v>
      </c>
      <c r="AD7" s="9" t="b">
        <f>OR(X7&lt;50,Y7&lt;50,Z7&lt;50,AA7&lt;50,AB7&lt;50)</f>
        <v>0</v>
      </c>
      <c r="AE7" s="10">
        <f>AVERAGE(H7,O7,V7,AC7)</f>
        <v>69.949999999999989</v>
      </c>
      <c r="AF7" s="8"/>
      <c r="AG7" s="8"/>
      <c r="AH7" s="8"/>
      <c r="AI7" s="8"/>
      <c r="AJ7" s="8"/>
      <c r="AK7" s="8"/>
    </row>
    <row r="8" spans="1:37" x14ac:dyDescent="0.25">
      <c r="A8" s="1" t="s">
        <v>9</v>
      </c>
      <c r="B8" s="1" t="s">
        <v>36</v>
      </c>
      <c r="C8" s="4">
        <v>64</v>
      </c>
      <c r="D8" s="4">
        <v>37</v>
      </c>
      <c r="E8" s="4">
        <v>85</v>
      </c>
      <c r="F8" s="4">
        <v>47</v>
      </c>
      <c r="G8" s="4">
        <v>85</v>
      </c>
      <c r="H8" s="4">
        <f t="shared" si="0"/>
        <v>63.6</v>
      </c>
      <c r="I8" s="4" t="b">
        <f t="shared" si="1"/>
        <v>1</v>
      </c>
      <c r="J8" s="5">
        <v>85</v>
      </c>
      <c r="K8" s="5">
        <v>34</v>
      </c>
      <c r="L8" s="5">
        <v>51</v>
      </c>
      <c r="M8" s="5">
        <v>58</v>
      </c>
      <c r="N8" s="5">
        <v>82</v>
      </c>
      <c r="O8" s="5">
        <f t="shared" si="2"/>
        <v>62</v>
      </c>
      <c r="P8" s="5" t="b">
        <f t="shared" si="3"/>
        <v>1</v>
      </c>
      <c r="Q8" s="2">
        <v>44</v>
      </c>
      <c r="R8" s="2">
        <v>37</v>
      </c>
      <c r="S8" s="2">
        <v>79</v>
      </c>
      <c r="T8" s="2">
        <v>34</v>
      </c>
      <c r="U8" s="2">
        <v>78</v>
      </c>
      <c r="V8" s="2">
        <f t="shared" si="4"/>
        <v>54.4</v>
      </c>
      <c r="W8" s="2" t="b">
        <f t="shared" si="5"/>
        <v>1</v>
      </c>
      <c r="X8" s="3">
        <v>55</v>
      </c>
      <c r="Y8" s="3">
        <v>82</v>
      </c>
      <c r="Z8" s="3">
        <v>91</v>
      </c>
      <c r="AA8" s="3">
        <v>64</v>
      </c>
      <c r="AB8" s="3">
        <v>80</v>
      </c>
      <c r="AC8" s="3">
        <f>AVERAGE(X8,Y8,Z8,AA8,AB8)</f>
        <v>74.400000000000006</v>
      </c>
      <c r="AD8" s="9" t="b">
        <f>OR(X8&lt;50,Y8&lt;50,Z8&lt;50,AA8&lt;50,AB8&lt;50)</f>
        <v>0</v>
      </c>
      <c r="AE8" s="10">
        <f>AVERAGE(H8,O8,V8,AC8)</f>
        <v>63.6</v>
      </c>
      <c r="AF8" s="8"/>
      <c r="AG8" s="8"/>
      <c r="AH8" s="8"/>
      <c r="AI8" s="8"/>
      <c r="AJ8" s="8"/>
      <c r="AK8" s="8"/>
    </row>
    <row r="9" spans="1:37" x14ac:dyDescent="0.25">
      <c r="A9" s="1" t="s">
        <v>10</v>
      </c>
      <c r="B9" s="1" t="s">
        <v>37</v>
      </c>
      <c r="C9" s="4">
        <v>85</v>
      </c>
      <c r="D9" s="4">
        <v>60</v>
      </c>
      <c r="E9" s="4">
        <v>87</v>
      </c>
      <c r="F9" s="4">
        <v>64</v>
      </c>
      <c r="G9" s="4">
        <v>82</v>
      </c>
      <c r="H9" s="4">
        <f t="shared" si="0"/>
        <v>75.599999999999994</v>
      </c>
      <c r="I9" s="4" t="b">
        <f t="shared" si="1"/>
        <v>0</v>
      </c>
      <c r="J9" s="5">
        <v>64</v>
      </c>
      <c r="K9" s="5">
        <v>71</v>
      </c>
      <c r="L9" s="5">
        <v>63</v>
      </c>
      <c r="M9" s="5">
        <v>26</v>
      </c>
      <c r="N9" s="5">
        <v>78</v>
      </c>
      <c r="O9" s="5">
        <f t="shared" si="2"/>
        <v>60.4</v>
      </c>
      <c r="P9" s="5" t="b">
        <f t="shared" si="3"/>
        <v>1</v>
      </c>
      <c r="Q9" s="2">
        <v>73</v>
      </c>
      <c r="R9" s="2">
        <v>44</v>
      </c>
      <c r="S9" s="2">
        <v>94</v>
      </c>
      <c r="T9" s="2">
        <v>75</v>
      </c>
      <c r="U9" s="2">
        <v>95</v>
      </c>
      <c r="V9" s="2">
        <f t="shared" si="4"/>
        <v>76.2</v>
      </c>
      <c r="W9" s="2" t="b">
        <f t="shared" si="5"/>
        <v>1</v>
      </c>
      <c r="X9" s="3">
        <v>50</v>
      </c>
      <c r="Y9" s="3">
        <v>43</v>
      </c>
      <c r="Z9" s="3">
        <v>80</v>
      </c>
      <c r="AA9" s="3">
        <v>82</v>
      </c>
      <c r="AB9" s="3">
        <v>92</v>
      </c>
      <c r="AC9" s="3">
        <f>AVERAGE(X9,Y9,Z9,AA9,AB9)</f>
        <v>69.400000000000006</v>
      </c>
      <c r="AD9" s="9" t="b">
        <f>OR(X9&lt;50,Y9&lt;50,Z9&lt;50,AA9&lt;50,AB9&lt;50)</f>
        <v>1</v>
      </c>
      <c r="AE9" s="10">
        <f>AVERAGE(H9,O9,V9,AC9)</f>
        <v>70.400000000000006</v>
      </c>
      <c r="AF9" s="8"/>
      <c r="AG9" s="8"/>
      <c r="AH9" s="8"/>
      <c r="AI9" s="8"/>
      <c r="AJ9" s="8"/>
      <c r="AK9" s="8"/>
    </row>
    <row r="10" spans="1:37" x14ac:dyDescent="0.25">
      <c r="A10" s="1" t="s">
        <v>11</v>
      </c>
      <c r="B10" s="1" t="s">
        <v>38</v>
      </c>
      <c r="C10" s="4">
        <v>64</v>
      </c>
      <c r="D10" s="4">
        <v>30</v>
      </c>
      <c r="E10" s="4">
        <v>66</v>
      </c>
      <c r="F10" s="4">
        <v>79</v>
      </c>
      <c r="G10" s="4">
        <v>99</v>
      </c>
      <c r="H10" s="4">
        <f t="shared" si="0"/>
        <v>67.599999999999994</v>
      </c>
      <c r="I10" s="4" t="b">
        <f t="shared" si="1"/>
        <v>1</v>
      </c>
      <c r="J10" s="5">
        <v>50</v>
      </c>
      <c r="K10" s="5">
        <v>52</v>
      </c>
      <c r="L10" s="5">
        <v>69</v>
      </c>
      <c r="M10" s="5">
        <v>52</v>
      </c>
      <c r="N10" s="5">
        <v>98</v>
      </c>
      <c r="O10" s="5">
        <f t="shared" si="2"/>
        <v>64.2</v>
      </c>
      <c r="P10" s="5" t="b">
        <f t="shared" si="3"/>
        <v>0</v>
      </c>
      <c r="Q10" s="2">
        <v>53</v>
      </c>
      <c r="R10" s="2">
        <v>96</v>
      </c>
      <c r="S10" s="2">
        <v>98</v>
      </c>
      <c r="T10" s="2">
        <v>84</v>
      </c>
      <c r="U10" s="2">
        <v>80</v>
      </c>
      <c r="V10" s="2">
        <f t="shared" si="4"/>
        <v>82.2</v>
      </c>
      <c r="W10" s="2" t="b">
        <f t="shared" si="5"/>
        <v>0</v>
      </c>
      <c r="X10" s="3">
        <v>73</v>
      </c>
      <c r="Y10" s="3">
        <v>65</v>
      </c>
      <c r="Z10" s="3">
        <v>65</v>
      </c>
      <c r="AA10" s="3">
        <v>53</v>
      </c>
      <c r="AB10" s="3">
        <v>88</v>
      </c>
      <c r="AC10" s="3">
        <f>AVERAGE(X10,Y10,Z10,AA10,AB10)</f>
        <v>68.8</v>
      </c>
      <c r="AD10" s="9" t="b">
        <f>OR(X10&lt;50,Y10&lt;50,Z10&lt;50,AA10&lt;50,AB10&lt;50)</f>
        <v>0</v>
      </c>
      <c r="AE10" s="10">
        <f>AVERAGE(H10,O10,V10,AC10)</f>
        <v>70.7</v>
      </c>
      <c r="AF10" s="8"/>
      <c r="AG10" s="8"/>
      <c r="AH10" s="8"/>
      <c r="AI10" s="8"/>
      <c r="AJ10" s="8"/>
      <c r="AK10" s="8"/>
    </row>
    <row r="11" spans="1:37" x14ac:dyDescent="0.25">
      <c r="A11" s="1" t="s">
        <v>12</v>
      </c>
      <c r="B11" s="1" t="s">
        <v>25</v>
      </c>
      <c r="C11" s="4">
        <v>82</v>
      </c>
      <c r="D11" s="4">
        <v>53</v>
      </c>
      <c r="E11" s="4">
        <v>63</v>
      </c>
      <c r="F11" s="4">
        <v>55</v>
      </c>
      <c r="G11" s="4">
        <v>95</v>
      </c>
      <c r="H11" s="4">
        <f t="shared" si="0"/>
        <v>69.599999999999994</v>
      </c>
      <c r="I11" s="4" t="b">
        <f t="shared" si="1"/>
        <v>0</v>
      </c>
      <c r="J11" s="5">
        <v>99</v>
      </c>
      <c r="K11" s="5">
        <v>66</v>
      </c>
      <c r="L11" s="5">
        <v>54</v>
      </c>
      <c r="M11" s="5">
        <v>56</v>
      </c>
      <c r="N11" s="5">
        <v>98</v>
      </c>
      <c r="O11" s="5">
        <f t="shared" si="2"/>
        <v>74.599999999999994</v>
      </c>
      <c r="P11" s="5" t="b">
        <f t="shared" si="3"/>
        <v>0</v>
      </c>
      <c r="Q11" s="2">
        <v>80</v>
      </c>
      <c r="R11" s="2">
        <v>41</v>
      </c>
      <c r="S11" s="2">
        <v>76</v>
      </c>
      <c r="T11" s="2">
        <v>48</v>
      </c>
      <c r="U11" s="2">
        <v>75</v>
      </c>
      <c r="V11" s="2">
        <f t="shared" si="4"/>
        <v>64</v>
      </c>
      <c r="W11" s="2" t="b">
        <f t="shared" si="5"/>
        <v>1</v>
      </c>
      <c r="X11" s="3">
        <v>82</v>
      </c>
      <c r="Y11" s="3">
        <v>67</v>
      </c>
      <c r="Z11" s="3">
        <v>87</v>
      </c>
      <c r="AA11" s="3">
        <v>75</v>
      </c>
      <c r="AB11" s="3">
        <v>85</v>
      </c>
      <c r="AC11" s="3">
        <f>AVERAGE(X11,Y11,Z11,AA11,AB11)</f>
        <v>79.2</v>
      </c>
      <c r="AD11" s="9" t="b">
        <f>OR(X11&lt;50,Y11&lt;50,Z11&lt;50,AA11&lt;50,AB11&lt;50)</f>
        <v>0</v>
      </c>
      <c r="AE11" s="10">
        <f>AVERAGE(H11,O11,V11,AC11)</f>
        <v>71.849999999999994</v>
      </c>
      <c r="AF11" s="8"/>
      <c r="AG11" s="8"/>
      <c r="AH11" s="8"/>
      <c r="AI11" s="8"/>
      <c r="AJ11" s="8"/>
      <c r="AK11" s="8"/>
    </row>
    <row r="12" spans="1:37" x14ac:dyDescent="0.25">
      <c r="A12" s="1" t="s">
        <v>13</v>
      </c>
      <c r="B12" s="1" t="s">
        <v>33</v>
      </c>
      <c r="C12" s="4">
        <v>65</v>
      </c>
      <c r="D12" s="4">
        <v>50</v>
      </c>
      <c r="E12" s="4">
        <v>74</v>
      </c>
      <c r="F12" s="4">
        <v>45</v>
      </c>
      <c r="G12" s="4">
        <v>88</v>
      </c>
      <c r="H12" s="4">
        <f t="shared" si="0"/>
        <v>64.400000000000006</v>
      </c>
      <c r="I12" s="4" t="b">
        <f t="shared" si="1"/>
        <v>1</v>
      </c>
      <c r="J12" s="5">
        <v>64</v>
      </c>
      <c r="K12" s="5">
        <v>77</v>
      </c>
      <c r="L12" s="5">
        <v>38</v>
      </c>
      <c r="M12" s="5">
        <v>30</v>
      </c>
      <c r="N12" s="5">
        <v>75</v>
      </c>
      <c r="O12" s="5">
        <f t="shared" si="2"/>
        <v>56.8</v>
      </c>
      <c r="P12" s="5" t="b">
        <f t="shared" si="3"/>
        <v>1</v>
      </c>
      <c r="Q12" s="2">
        <v>65</v>
      </c>
      <c r="R12" s="2">
        <v>92</v>
      </c>
      <c r="S12" s="2">
        <v>37</v>
      </c>
      <c r="T12" s="2">
        <v>52</v>
      </c>
      <c r="U12" s="2">
        <v>78</v>
      </c>
      <c r="V12" s="2">
        <f t="shared" si="4"/>
        <v>64.8</v>
      </c>
      <c r="W12" s="2" t="b">
        <f t="shared" si="5"/>
        <v>1</v>
      </c>
      <c r="X12" s="3">
        <v>100</v>
      </c>
      <c r="Y12" s="3">
        <v>53</v>
      </c>
      <c r="Z12" s="3">
        <v>68</v>
      </c>
      <c r="AA12" s="3">
        <v>75</v>
      </c>
      <c r="AB12" s="3">
        <v>96</v>
      </c>
      <c r="AC12" s="3">
        <f>AVERAGE(X12,Y12,Z12,AA12,AB12)</f>
        <v>78.400000000000006</v>
      </c>
      <c r="AD12" s="9" t="b">
        <f>OR(X12&lt;50,Y12&lt;50,Z12&lt;50,AA12&lt;50,AB12&lt;50)</f>
        <v>0</v>
      </c>
      <c r="AE12" s="10">
        <f>AVERAGE(H12,O12,V12,AC12)</f>
        <v>66.099999999999994</v>
      </c>
      <c r="AF12" s="8"/>
      <c r="AG12" s="8"/>
      <c r="AH12" s="8"/>
      <c r="AI12" s="8"/>
      <c r="AJ12" s="8"/>
      <c r="AK12" s="8"/>
    </row>
    <row r="13" spans="1:37" x14ac:dyDescent="0.25">
      <c r="A13" s="1" t="s">
        <v>14</v>
      </c>
      <c r="B13" s="1" t="s">
        <v>34</v>
      </c>
      <c r="C13" s="4">
        <v>87</v>
      </c>
      <c r="D13" s="4">
        <v>39</v>
      </c>
      <c r="E13" s="4">
        <v>74</v>
      </c>
      <c r="F13" s="4">
        <v>47</v>
      </c>
      <c r="G13" s="4">
        <v>99</v>
      </c>
      <c r="H13" s="4">
        <f t="shared" si="0"/>
        <v>69.2</v>
      </c>
      <c r="I13" s="4" t="b">
        <f t="shared" si="1"/>
        <v>1</v>
      </c>
      <c r="J13" s="5">
        <v>78</v>
      </c>
      <c r="K13" s="5">
        <v>31</v>
      </c>
      <c r="L13" s="5">
        <v>65</v>
      </c>
      <c r="M13" s="5">
        <v>25</v>
      </c>
      <c r="N13" s="5">
        <v>90</v>
      </c>
      <c r="O13" s="5">
        <f t="shared" si="2"/>
        <v>57.8</v>
      </c>
      <c r="P13" s="5" t="b">
        <f t="shared" si="3"/>
        <v>1</v>
      </c>
      <c r="Q13" s="2">
        <v>67</v>
      </c>
      <c r="R13" s="2">
        <v>40</v>
      </c>
      <c r="S13" s="2">
        <v>69</v>
      </c>
      <c r="T13" s="2">
        <v>78</v>
      </c>
      <c r="U13" s="2">
        <v>76</v>
      </c>
      <c r="V13" s="2">
        <f t="shared" si="4"/>
        <v>66</v>
      </c>
      <c r="W13" s="2" t="b">
        <f t="shared" si="5"/>
        <v>1</v>
      </c>
      <c r="X13" s="3">
        <v>69</v>
      </c>
      <c r="Y13" s="3">
        <v>89</v>
      </c>
      <c r="Z13" s="3">
        <v>44</v>
      </c>
      <c r="AA13" s="3">
        <v>65</v>
      </c>
      <c r="AB13" s="3">
        <v>80</v>
      </c>
      <c r="AC13" s="3">
        <f>AVERAGE(X13,Y13,Z13,AA13,AB13)</f>
        <v>69.400000000000006</v>
      </c>
      <c r="AD13" s="9" t="b">
        <f>OR(X13&lt;50,Y13&lt;50,Z13&lt;50,AA13&lt;50,AB13&lt;50)</f>
        <v>1</v>
      </c>
      <c r="AE13" s="10">
        <f>AVERAGE(H13,O13,V13,AC13)</f>
        <v>65.599999999999994</v>
      </c>
      <c r="AF13" s="8"/>
      <c r="AG13" s="8"/>
      <c r="AH13" s="8"/>
      <c r="AI13" s="8"/>
      <c r="AJ13" s="8"/>
      <c r="AK13" s="8"/>
    </row>
    <row r="14" spans="1:37" x14ac:dyDescent="0.25">
      <c r="A14" s="1" t="s">
        <v>15</v>
      </c>
      <c r="B14" s="1" t="s">
        <v>32</v>
      </c>
      <c r="C14" s="4">
        <v>65</v>
      </c>
      <c r="D14" s="4">
        <v>31</v>
      </c>
      <c r="E14" s="4">
        <v>76</v>
      </c>
      <c r="F14" s="4">
        <v>54</v>
      </c>
      <c r="G14" s="4">
        <v>78</v>
      </c>
      <c r="H14" s="4">
        <f t="shared" si="0"/>
        <v>60.8</v>
      </c>
      <c r="I14" s="4" t="b">
        <f t="shared" si="1"/>
        <v>1</v>
      </c>
      <c r="J14" s="5">
        <v>45</v>
      </c>
      <c r="K14" s="5">
        <v>69</v>
      </c>
      <c r="L14" s="5">
        <v>91</v>
      </c>
      <c r="M14" s="5">
        <v>23</v>
      </c>
      <c r="N14" s="5">
        <v>78</v>
      </c>
      <c r="O14" s="5">
        <f t="shared" si="2"/>
        <v>61.2</v>
      </c>
      <c r="P14" s="5" t="b">
        <f t="shared" si="3"/>
        <v>1</v>
      </c>
      <c r="Q14" s="2">
        <v>75</v>
      </c>
      <c r="R14" s="2">
        <v>71</v>
      </c>
      <c r="S14" s="2">
        <v>63</v>
      </c>
      <c r="T14" s="2">
        <v>6</v>
      </c>
      <c r="U14" s="2">
        <v>70</v>
      </c>
      <c r="V14" s="2">
        <f t="shared" si="4"/>
        <v>57</v>
      </c>
      <c r="W14" s="2" t="b">
        <f t="shared" si="5"/>
        <v>1</v>
      </c>
      <c r="X14" s="3">
        <v>95</v>
      </c>
      <c r="Y14" s="3">
        <v>78</v>
      </c>
      <c r="Z14" s="3">
        <v>95</v>
      </c>
      <c r="AA14" s="3">
        <v>55</v>
      </c>
      <c r="AB14" s="3">
        <v>79</v>
      </c>
      <c r="AC14" s="3">
        <f>AVERAGE(X14,Y14,Z14,AA14,AB14)</f>
        <v>80.400000000000006</v>
      </c>
      <c r="AD14" s="9" t="b">
        <f>OR(X14&lt;50,Y14&lt;50,Z14&lt;50,AA14&lt;50,AB14&lt;50)</f>
        <v>0</v>
      </c>
      <c r="AE14" s="10">
        <f>AVERAGE(H14,O14,V14,AC14)</f>
        <v>64.849999999999994</v>
      </c>
      <c r="AF14" s="8"/>
      <c r="AG14" s="8"/>
      <c r="AH14" s="8"/>
      <c r="AI14" s="8"/>
      <c r="AJ14" s="8"/>
      <c r="AK14" s="8"/>
    </row>
    <row r="15" spans="1:37" x14ac:dyDescent="0.25">
      <c r="A15" s="1" t="s">
        <v>16</v>
      </c>
      <c r="B15" s="1" t="s">
        <v>39</v>
      </c>
      <c r="C15" s="4">
        <v>76</v>
      </c>
      <c r="D15" s="4">
        <v>78</v>
      </c>
      <c r="E15" s="4">
        <v>87</v>
      </c>
      <c r="F15" s="4">
        <v>52</v>
      </c>
      <c r="G15" s="4">
        <v>90</v>
      </c>
      <c r="H15" s="4">
        <f t="shared" si="0"/>
        <v>76.599999999999994</v>
      </c>
      <c r="I15" s="4" t="b">
        <f t="shared" si="1"/>
        <v>0</v>
      </c>
      <c r="J15" s="5">
        <v>60</v>
      </c>
      <c r="K15" s="5">
        <v>24</v>
      </c>
      <c r="L15" s="5">
        <v>88</v>
      </c>
      <c r="M15" s="5">
        <v>87</v>
      </c>
      <c r="N15" s="5">
        <v>78</v>
      </c>
      <c r="O15" s="5">
        <f t="shared" si="2"/>
        <v>67.400000000000006</v>
      </c>
      <c r="P15" s="5" t="b">
        <f t="shared" si="3"/>
        <v>1</v>
      </c>
      <c r="Q15" s="2">
        <v>76</v>
      </c>
      <c r="R15" s="2">
        <v>55</v>
      </c>
      <c r="S15" s="2">
        <v>56</v>
      </c>
      <c r="T15" s="2">
        <v>53</v>
      </c>
      <c r="U15" s="2">
        <v>82</v>
      </c>
      <c r="V15" s="2">
        <f t="shared" si="4"/>
        <v>64.400000000000006</v>
      </c>
      <c r="W15" s="2" t="b">
        <f t="shared" si="5"/>
        <v>0</v>
      </c>
      <c r="X15" s="3">
        <v>56</v>
      </c>
      <c r="Y15" s="3">
        <v>98</v>
      </c>
      <c r="Z15" s="3">
        <v>88</v>
      </c>
      <c r="AA15" s="3">
        <v>65</v>
      </c>
      <c r="AB15" s="3">
        <v>81</v>
      </c>
      <c r="AC15" s="3">
        <f>AVERAGE(X15,Y15,Z15,AA15,AB15)</f>
        <v>77.599999999999994</v>
      </c>
      <c r="AD15" s="9" t="b">
        <f>OR(X15&lt;50,Y15&lt;50,Z15&lt;50,AA15&lt;50,AB15&lt;50)</f>
        <v>0</v>
      </c>
      <c r="AE15" s="10">
        <f>AVERAGE(H15,O15,V15,AC15)</f>
        <v>71.5</v>
      </c>
      <c r="AF15" s="8"/>
      <c r="AG15" s="8"/>
      <c r="AH15" s="8"/>
      <c r="AI15" s="8"/>
      <c r="AJ15" s="8"/>
      <c r="AK15" s="8"/>
    </row>
    <row r="16" spans="1:37" x14ac:dyDescent="0.25">
      <c r="A16" s="1" t="s">
        <v>17</v>
      </c>
      <c r="B16" s="1" t="s">
        <v>26</v>
      </c>
      <c r="C16" s="4">
        <v>79</v>
      </c>
      <c r="D16" s="4">
        <v>33</v>
      </c>
      <c r="E16" s="4">
        <v>68</v>
      </c>
      <c r="F16" s="4">
        <v>72</v>
      </c>
      <c r="G16" s="4">
        <v>85</v>
      </c>
      <c r="H16" s="4">
        <f t="shared" si="0"/>
        <v>67.400000000000006</v>
      </c>
      <c r="I16" s="4" t="b">
        <f t="shared" si="1"/>
        <v>1</v>
      </c>
      <c r="J16" s="5">
        <v>75</v>
      </c>
      <c r="K16" s="5">
        <v>78</v>
      </c>
      <c r="L16" s="5">
        <v>98</v>
      </c>
      <c r="M16" s="5">
        <v>50</v>
      </c>
      <c r="N16" s="5">
        <v>82</v>
      </c>
      <c r="O16" s="5">
        <f t="shared" si="2"/>
        <v>76.599999999999994</v>
      </c>
      <c r="P16" s="5" t="b">
        <f t="shared" si="3"/>
        <v>0</v>
      </c>
      <c r="Q16" s="2">
        <v>80</v>
      </c>
      <c r="R16" s="2">
        <v>90</v>
      </c>
      <c r="S16" s="2">
        <v>99</v>
      </c>
      <c r="T16" s="2">
        <v>50</v>
      </c>
      <c r="U16" s="2">
        <v>88</v>
      </c>
      <c r="V16" s="2">
        <f t="shared" si="4"/>
        <v>81.400000000000006</v>
      </c>
      <c r="W16" s="2" t="b">
        <f t="shared" si="5"/>
        <v>0</v>
      </c>
      <c r="X16" s="3">
        <v>43</v>
      </c>
      <c r="Y16" s="3">
        <v>32</v>
      </c>
      <c r="Z16" s="3">
        <v>76</v>
      </c>
      <c r="AA16" s="3">
        <v>78</v>
      </c>
      <c r="AB16" s="3">
        <v>90</v>
      </c>
      <c r="AC16" s="3">
        <f>AVERAGE(X16,Y16,Z16,AA16,AB16)</f>
        <v>63.8</v>
      </c>
      <c r="AD16" s="9" t="b">
        <f>OR(X16&lt;50,Y16&lt;50,Z16&lt;50,AA16&lt;50,AB16&lt;50)</f>
        <v>1</v>
      </c>
      <c r="AE16" s="10">
        <f>AVERAGE(H16,O16,V16,AC16)</f>
        <v>72.3</v>
      </c>
      <c r="AF16" s="8"/>
      <c r="AG16" s="8"/>
      <c r="AH16" s="8"/>
      <c r="AI16" s="8"/>
      <c r="AJ16" s="8"/>
      <c r="AK16" s="8"/>
    </row>
    <row r="17" spans="1:37" x14ac:dyDescent="0.25">
      <c r="A17" s="1" t="s">
        <v>18</v>
      </c>
      <c r="B17" s="1" t="s">
        <v>40</v>
      </c>
      <c r="C17" s="4">
        <v>90</v>
      </c>
      <c r="D17" s="4">
        <v>25</v>
      </c>
      <c r="E17" s="4">
        <v>80</v>
      </c>
      <c r="F17" s="4">
        <v>56</v>
      </c>
      <c r="G17" s="4">
        <v>88</v>
      </c>
      <c r="H17" s="4">
        <f t="shared" si="0"/>
        <v>67.8</v>
      </c>
      <c r="I17" s="4" t="b">
        <f t="shared" si="1"/>
        <v>1</v>
      </c>
      <c r="J17" s="5">
        <v>86</v>
      </c>
      <c r="K17" s="5">
        <v>94</v>
      </c>
      <c r="L17" s="5">
        <v>75</v>
      </c>
      <c r="M17" s="5">
        <v>34</v>
      </c>
      <c r="N17" s="5">
        <v>95</v>
      </c>
      <c r="O17" s="5">
        <f t="shared" si="2"/>
        <v>76.8</v>
      </c>
      <c r="P17" s="5" t="b">
        <f t="shared" si="3"/>
        <v>1</v>
      </c>
      <c r="Q17" s="2">
        <v>85</v>
      </c>
      <c r="R17" s="2">
        <v>72</v>
      </c>
      <c r="S17" s="2">
        <v>46</v>
      </c>
      <c r="T17" s="2">
        <v>42</v>
      </c>
      <c r="U17" s="2">
        <v>71</v>
      </c>
      <c r="V17" s="2">
        <f t="shared" si="4"/>
        <v>63.2</v>
      </c>
      <c r="W17" s="2" t="b">
        <f t="shared" si="5"/>
        <v>1</v>
      </c>
      <c r="X17" s="3">
        <v>99</v>
      </c>
      <c r="Y17" s="3">
        <v>44</v>
      </c>
      <c r="Z17" s="3">
        <v>45</v>
      </c>
      <c r="AA17" s="3">
        <v>62</v>
      </c>
      <c r="AB17" s="3">
        <v>82</v>
      </c>
      <c r="AC17" s="3">
        <f>AVERAGE(X17,Y17,Z17,AA17,AB17)</f>
        <v>66.400000000000006</v>
      </c>
      <c r="AD17" s="9" t="b">
        <f>OR(X17&lt;50,Y17&lt;50,Z17&lt;50,AA17&lt;50,AB17&lt;50)</f>
        <v>1</v>
      </c>
      <c r="AE17" s="10">
        <f>AVERAGE(H17,O17,V17,AC17)</f>
        <v>68.550000000000011</v>
      </c>
      <c r="AF17" s="8"/>
      <c r="AG17" s="8"/>
      <c r="AH17" s="8"/>
      <c r="AI17" s="8"/>
      <c r="AJ17" s="8"/>
      <c r="AK17" s="8"/>
    </row>
    <row r="18" spans="1:37" x14ac:dyDescent="0.25">
      <c r="A18" s="1" t="s">
        <v>19</v>
      </c>
      <c r="B18" s="1" t="s">
        <v>41</v>
      </c>
      <c r="C18" s="4">
        <v>95</v>
      </c>
      <c r="D18" s="4">
        <v>25</v>
      </c>
      <c r="E18" s="4">
        <v>88</v>
      </c>
      <c r="F18" s="4">
        <v>64</v>
      </c>
      <c r="G18" s="4">
        <v>82</v>
      </c>
      <c r="H18" s="4">
        <f t="shared" si="0"/>
        <v>70.8</v>
      </c>
      <c r="I18" s="4" t="b">
        <f t="shared" si="1"/>
        <v>1</v>
      </c>
      <c r="J18" s="5">
        <v>45</v>
      </c>
      <c r="K18" s="5">
        <v>30</v>
      </c>
      <c r="L18" s="5">
        <v>84</v>
      </c>
      <c r="M18" s="5">
        <v>70</v>
      </c>
      <c r="N18" s="5">
        <v>68</v>
      </c>
      <c r="O18" s="5">
        <f t="shared" si="2"/>
        <v>59.4</v>
      </c>
      <c r="P18" s="5" t="b">
        <f t="shared" si="3"/>
        <v>1</v>
      </c>
      <c r="Q18" s="2">
        <v>73</v>
      </c>
      <c r="R18" s="2">
        <v>81</v>
      </c>
      <c r="S18" s="2">
        <v>30</v>
      </c>
      <c r="T18" s="2">
        <v>61</v>
      </c>
      <c r="U18" s="2">
        <v>95</v>
      </c>
      <c r="V18" s="2">
        <f t="shared" si="4"/>
        <v>68</v>
      </c>
      <c r="W18" s="2" t="b">
        <f t="shared" si="5"/>
        <v>1</v>
      </c>
      <c r="X18" s="3">
        <v>80</v>
      </c>
      <c r="Y18" s="3">
        <v>95</v>
      </c>
      <c r="Z18" s="3">
        <v>61</v>
      </c>
      <c r="AA18" s="3">
        <v>69</v>
      </c>
      <c r="AB18" s="3">
        <v>89</v>
      </c>
      <c r="AC18" s="3">
        <f>AVERAGE(X18,Y18,Z18,AA18,AB18)</f>
        <v>78.8</v>
      </c>
      <c r="AD18" s="9" t="b">
        <f>OR(X18&lt;50,Y18&lt;50,Z18&lt;50,AA18&lt;50,AB18&lt;50)</f>
        <v>0</v>
      </c>
      <c r="AE18" s="10">
        <f>AVERAGE(H18,O18,V18,AC18)</f>
        <v>69.25</v>
      </c>
      <c r="AF18" s="8"/>
      <c r="AG18" s="8"/>
      <c r="AH18" s="8"/>
      <c r="AI18" s="8"/>
      <c r="AJ18" s="8"/>
      <c r="AK18" s="8"/>
    </row>
    <row r="19" spans="1:37" x14ac:dyDescent="0.25">
      <c r="A19" s="1" t="s">
        <v>20</v>
      </c>
      <c r="B19" s="1" t="s">
        <v>27</v>
      </c>
      <c r="C19" s="4">
        <v>85</v>
      </c>
      <c r="D19" s="4">
        <v>55</v>
      </c>
      <c r="E19" s="4">
        <v>60</v>
      </c>
      <c r="F19" s="4">
        <v>78</v>
      </c>
      <c r="G19" s="4">
        <v>100</v>
      </c>
      <c r="H19" s="4">
        <f t="shared" si="0"/>
        <v>75.599999999999994</v>
      </c>
      <c r="I19" s="4" t="b">
        <f t="shared" si="1"/>
        <v>0</v>
      </c>
      <c r="J19" s="5">
        <v>75</v>
      </c>
      <c r="K19" s="5">
        <v>89</v>
      </c>
      <c r="L19" s="5">
        <v>54</v>
      </c>
      <c r="M19" s="5">
        <v>83</v>
      </c>
      <c r="N19" s="5">
        <v>80</v>
      </c>
      <c r="O19" s="5">
        <f t="shared" si="2"/>
        <v>76.2</v>
      </c>
      <c r="P19" s="5" t="b">
        <f t="shared" si="3"/>
        <v>0</v>
      </c>
      <c r="Q19" s="2">
        <v>75</v>
      </c>
      <c r="R19" s="2">
        <v>76</v>
      </c>
      <c r="S19" s="2">
        <v>81</v>
      </c>
      <c r="T19" s="2">
        <v>82</v>
      </c>
      <c r="U19" s="2">
        <v>68</v>
      </c>
      <c r="V19" s="2">
        <f t="shared" si="4"/>
        <v>76.400000000000006</v>
      </c>
      <c r="W19" s="2" t="b">
        <f t="shared" si="5"/>
        <v>0</v>
      </c>
      <c r="X19" s="3">
        <v>64</v>
      </c>
      <c r="Y19" s="3">
        <v>58</v>
      </c>
      <c r="Z19" s="3">
        <v>53</v>
      </c>
      <c r="AA19" s="3">
        <v>80</v>
      </c>
      <c r="AB19" s="3">
        <v>75</v>
      </c>
      <c r="AC19" s="3">
        <f>AVERAGE(X19,Y19,Z19,AA19,AB19)</f>
        <v>66</v>
      </c>
      <c r="AD19" s="9" t="b">
        <f>OR(X19&lt;50,Y19&lt;50,Z19&lt;50,AA19&lt;50,AB19&lt;50)</f>
        <v>0</v>
      </c>
      <c r="AE19" s="10">
        <f>AVERAGE(H19,O19,V19,AC19)</f>
        <v>73.550000000000011</v>
      </c>
      <c r="AF19" s="8"/>
      <c r="AG19" s="8"/>
      <c r="AH19" s="8"/>
      <c r="AI19" s="8"/>
      <c r="AJ19" s="8"/>
      <c r="AK19" s="8"/>
    </row>
    <row r="20" spans="1:37" x14ac:dyDescent="0.25">
      <c r="A20" s="1" t="s">
        <v>21</v>
      </c>
      <c r="B20" s="1" t="s">
        <v>42</v>
      </c>
      <c r="C20" s="4">
        <v>86</v>
      </c>
      <c r="D20" s="4">
        <v>64</v>
      </c>
      <c r="E20" s="4">
        <v>66</v>
      </c>
      <c r="F20" s="4">
        <v>50</v>
      </c>
      <c r="G20" s="4">
        <v>98</v>
      </c>
      <c r="H20" s="4">
        <f t="shared" si="0"/>
        <v>72.8</v>
      </c>
      <c r="I20" s="4" t="b">
        <f t="shared" si="1"/>
        <v>0</v>
      </c>
      <c r="J20" s="5">
        <v>86</v>
      </c>
      <c r="K20" s="5">
        <v>57</v>
      </c>
      <c r="L20" s="5">
        <v>83</v>
      </c>
      <c r="M20" s="5">
        <v>45</v>
      </c>
      <c r="N20" s="5">
        <v>88</v>
      </c>
      <c r="O20" s="5">
        <f t="shared" si="2"/>
        <v>71.8</v>
      </c>
      <c r="P20" s="5" t="b">
        <f t="shared" si="3"/>
        <v>1</v>
      </c>
      <c r="Q20" s="2">
        <v>90</v>
      </c>
      <c r="R20" s="2">
        <v>78</v>
      </c>
      <c r="S20" s="2">
        <v>49</v>
      </c>
      <c r="T20" s="2">
        <v>79</v>
      </c>
      <c r="U20" s="2">
        <v>79</v>
      </c>
      <c r="V20" s="2">
        <f t="shared" si="4"/>
        <v>75</v>
      </c>
      <c r="W20" s="2" t="b">
        <f t="shared" si="5"/>
        <v>1</v>
      </c>
      <c r="X20" s="3">
        <v>87</v>
      </c>
      <c r="Y20" s="3">
        <v>85</v>
      </c>
      <c r="Z20" s="3">
        <v>60</v>
      </c>
      <c r="AA20" s="3">
        <v>78</v>
      </c>
      <c r="AB20" s="3">
        <v>71</v>
      </c>
      <c r="AC20" s="3">
        <f>AVERAGE(X20,Y20,Z20,AA20,AB20)</f>
        <v>76.2</v>
      </c>
      <c r="AD20" s="9" t="b">
        <f>OR(X20&lt;50,Y20&lt;50,Z20&lt;50,AA20&lt;50,AB20&lt;50)</f>
        <v>0</v>
      </c>
      <c r="AE20" s="10">
        <f>AVERAGE(H20,O20,V20,AC20)</f>
        <v>73.95</v>
      </c>
      <c r="AF20" s="8"/>
      <c r="AG20" s="8"/>
      <c r="AH20" s="8"/>
      <c r="AI20" s="8"/>
      <c r="AJ20" s="8"/>
      <c r="AK20" s="8"/>
    </row>
    <row r="21" spans="1:37" x14ac:dyDescent="0.25">
      <c r="A21" s="1" t="s">
        <v>22</v>
      </c>
      <c r="B21" s="1" t="s">
        <v>44</v>
      </c>
      <c r="C21" s="4">
        <v>64</v>
      </c>
      <c r="D21" s="4">
        <v>28</v>
      </c>
      <c r="E21" s="4">
        <v>69</v>
      </c>
      <c r="F21" s="4">
        <v>84</v>
      </c>
      <c r="G21" s="4">
        <v>77</v>
      </c>
      <c r="H21" s="4">
        <f t="shared" si="0"/>
        <v>64.400000000000006</v>
      </c>
      <c r="I21" s="4" t="b">
        <f t="shared" si="1"/>
        <v>1</v>
      </c>
      <c r="J21" s="5">
        <v>86</v>
      </c>
      <c r="K21" s="5">
        <v>25</v>
      </c>
      <c r="L21" s="5">
        <v>70</v>
      </c>
      <c r="M21" s="5">
        <v>56</v>
      </c>
      <c r="N21" s="5">
        <v>90</v>
      </c>
      <c r="O21" s="5">
        <f t="shared" si="2"/>
        <v>65.400000000000006</v>
      </c>
      <c r="P21" s="5" t="b">
        <f t="shared" si="3"/>
        <v>1</v>
      </c>
      <c r="Q21" s="2">
        <v>71</v>
      </c>
      <c r="R21" s="2">
        <v>64</v>
      </c>
      <c r="S21" s="2">
        <v>36</v>
      </c>
      <c r="T21" s="2">
        <v>55</v>
      </c>
      <c r="U21" s="2">
        <v>83</v>
      </c>
      <c r="V21" s="2">
        <f t="shared" si="4"/>
        <v>61.8</v>
      </c>
      <c r="W21" s="2" t="b">
        <f t="shared" si="5"/>
        <v>1</v>
      </c>
      <c r="X21" s="3">
        <v>68</v>
      </c>
      <c r="Y21" s="3">
        <v>60</v>
      </c>
      <c r="Z21" s="3">
        <v>69</v>
      </c>
      <c r="AA21" s="3">
        <v>60</v>
      </c>
      <c r="AB21" s="3">
        <v>76</v>
      </c>
      <c r="AC21" s="3">
        <f>AVERAGE(X21,Y21,Z21,AA21,AB21)</f>
        <v>66.599999999999994</v>
      </c>
      <c r="AD21" s="9" t="b">
        <f>OR(X21&lt;50,Y21&lt;50,Z21&lt;50,AA21&lt;50,AB21&lt;50)</f>
        <v>0</v>
      </c>
      <c r="AE21" s="10">
        <f>AVERAGE(H21,O21,V21,AC21)</f>
        <v>64.550000000000011</v>
      </c>
      <c r="AF21" s="8"/>
      <c r="AG21" s="8"/>
      <c r="AH21" s="8"/>
      <c r="AI21" s="8"/>
      <c r="AJ21" s="8"/>
      <c r="AK21" s="8"/>
    </row>
    <row r="22" spans="1:37" x14ac:dyDescent="0.25">
      <c r="A22" s="1" t="s">
        <v>23</v>
      </c>
      <c r="B22" s="1" t="s">
        <v>28</v>
      </c>
      <c r="C22" s="4">
        <v>96</v>
      </c>
      <c r="D22" s="4">
        <v>41</v>
      </c>
      <c r="E22" s="4">
        <v>73</v>
      </c>
      <c r="F22" s="4">
        <v>81</v>
      </c>
      <c r="G22" s="4">
        <v>95</v>
      </c>
      <c r="H22" s="4">
        <f t="shared" si="0"/>
        <v>77.2</v>
      </c>
      <c r="I22" s="4" t="b">
        <f t="shared" si="1"/>
        <v>1</v>
      </c>
      <c r="J22" s="5">
        <v>78</v>
      </c>
      <c r="K22" s="5">
        <v>87</v>
      </c>
      <c r="L22" s="5">
        <v>71</v>
      </c>
      <c r="M22" s="5">
        <v>54</v>
      </c>
      <c r="N22" s="5">
        <v>75</v>
      </c>
      <c r="O22" s="5">
        <f t="shared" si="2"/>
        <v>73</v>
      </c>
      <c r="P22" s="5" t="b">
        <f t="shared" si="3"/>
        <v>0</v>
      </c>
      <c r="Q22" s="2">
        <v>81</v>
      </c>
      <c r="R22" s="2">
        <v>69</v>
      </c>
      <c r="S22" s="2">
        <v>59</v>
      </c>
      <c r="T22" s="2">
        <v>64</v>
      </c>
      <c r="U22" s="2">
        <v>84</v>
      </c>
      <c r="V22" s="2">
        <f t="shared" si="4"/>
        <v>71.400000000000006</v>
      </c>
      <c r="W22" s="2" t="b">
        <f t="shared" si="5"/>
        <v>0</v>
      </c>
      <c r="X22" s="3">
        <v>93</v>
      </c>
      <c r="Y22" s="3">
        <v>93</v>
      </c>
      <c r="Z22" s="3">
        <v>78</v>
      </c>
      <c r="AA22" s="3">
        <v>65</v>
      </c>
      <c r="AB22" s="3">
        <v>80</v>
      </c>
      <c r="AC22" s="3">
        <f>AVERAGE(X22,Y22,Z22,AA22,AB22)</f>
        <v>81.8</v>
      </c>
      <c r="AD22" s="9" t="b">
        <f>OR(X22&lt;50,Y22&lt;50,Z22&lt;50,AA22&lt;50,AB22&lt;50)</f>
        <v>0</v>
      </c>
      <c r="AE22" s="10">
        <f>AVERAGE(H22,O22,V22,AC22)</f>
        <v>75.849999999999994</v>
      </c>
      <c r="AF22" s="8"/>
      <c r="AG22" s="8"/>
      <c r="AH22" s="8"/>
      <c r="AI22" s="8"/>
      <c r="AJ22" s="8"/>
      <c r="AK22" s="8"/>
    </row>
    <row r="23" spans="1:37" x14ac:dyDescent="0.25">
      <c r="A23" s="1" t="s">
        <v>24</v>
      </c>
      <c r="B23" s="1" t="s">
        <v>43</v>
      </c>
      <c r="C23" s="4">
        <v>90</v>
      </c>
      <c r="D23" s="4">
        <v>75</v>
      </c>
      <c r="E23" s="4">
        <v>82</v>
      </c>
      <c r="F23" s="4">
        <v>73</v>
      </c>
      <c r="G23" s="4">
        <v>85</v>
      </c>
      <c r="H23" s="4">
        <f t="shared" si="0"/>
        <v>81</v>
      </c>
      <c r="I23" s="4" t="b">
        <f t="shared" si="1"/>
        <v>0</v>
      </c>
      <c r="J23" s="5">
        <v>90</v>
      </c>
      <c r="K23" s="5">
        <v>74</v>
      </c>
      <c r="L23" s="5">
        <v>74</v>
      </c>
      <c r="M23" s="5">
        <v>50</v>
      </c>
      <c r="N23" s="5">
        <v>71</v>
      </c>
      <c r="O23" s="5">
        <f t="shared" si="2"/>
        <v>71.8</v>
      </c>
      <c r="P23" s="5" t="b">
        <f t="shared" si="3"/>
        <v>0</v>
      </c>
      <c r="Q23" s="2">
        <v>78</v>
      </c>
      <c r="R23" s="2">
        <v>95</v>
      </c>
      <c r="S23" s="2">
        <v>92</v>
      </c>
      <c r="T23" s="2">
        <v>78</v>
      </c>
      <c r="U23" s="2">
        <v>70</v>
      </c>
      <c r="V23" s="2">
        <f t="shared" si="4"/>
        <v>82.6</v>
      </c>
      <c r="W23" s="2" t="b">
        <f t="shared" si="5"/>
        <v>0</v>
      </c>
      <c r="X23" s="3">
        <v>87</v>
      </c>
      <c r="Y23" s="3">
        <v>73</v>
      </c>
      <c r="Z23" s="3">
        <v>71</v>
      </c>
      <c r="AA23" s="3">
        <v>70</v>
      </c>
      <c r="AB23" s="3">
        <v>93</v>
      </c>
      <c r="AC23" s="3">
        <f>AVERAGE(X23,Y23,Z23,AA23,AB23)</f>
        <v>78.8</v>
      </c>
      <c r="AD23" s="9" t="b">
        <f>OR(X23&lt;50,Y23&lt;50,Z23&lt;50,AA23&lt;50,AB23&lt;50)</f>
        <v>0</v>
      </c>
      <c r="AE23" s="10">
        <f>AVERAGE(H23,O23,V23,AC23)</f>
        <v>78.55</v>
      </c>
      <c r="AF23" s="8"/>
      <c r="AG23" s="8"/>
      <c r="AH23" s="8"/>
      <c r="AI23" s="8"/>
      <c r="AJ23" s="8"/>
      <c r="AK23" s="8"/>
    </row>
    <row r="25" spans="1:37" x14ac:dyDescent="0.25">
      <c r="A25" s="11" t="s">
        <v>52</v>
      </c>
      <c r="B25" s="11"/>
      <c r="C25">
        <f>AVERAGE(C4:C23)</f>
        <v>78.400000000000006</v>
      </c>
      <c r="D25">
        <f t="shared" ref="D25:AC25" si="6">AVERAGE(D4:D23)</f>
        <v>46.2</v>
      </c>
      <c r="E25">
        <f t="shared" si="6"/>
        <v>75.150000000000006</v>
      </c>
      <c r="F25">
        <f t="shared" si="6"/>
        <v>62.25</v>
      </c>
      <c r="G25">
        <f t="shared" si="6"/>
        <v>87.95</v>
      </c>
      <c r="H25" s="6">
        <f t="shared" si="6"/>
        <v>69.989999999999995</v>
      </c>
      <c r="J25">
        <f t="shared" si="6"/>
        <v>68.05</v>
      </c>
      <c r="K25">
        <f t="shared" si="6"/>
        <v>59.9</v>
      </c>
      <c r="L25">
        <f t="shared" si="6"/>
        <v>68.75</v>
      </c>
      <c r="M25">
        <f t="shared" si="6"/>
        <v>50.3</v>
      </c>
      <c r="N25">
        <f t="shared" si="6"/>
        <v>82.3</v>
      </c>
      <c r="O25" s="6">
        <f t="shared" si="6"/>
        <v>65.859999999999985</v>
      </c>
      <c r="Q25">
        <f t="shared" si="6"/>
        <v>71.95</v>
      </c>
      <c r="R25">
        <f t="shared" si="6"/>
        <v>69.400000000000006</v>
      </c>
      <c r="S25">
        <f t="shared" si="6"/>
        <v>63.35</v>
      </c>
      <c r="T25">
        <f t="shared" si="6"/>
        <v>60.45</v>
      </c>
      <c r="U25">
        <f t="shared" si="6"/>
        <v>81.099999999999994</v>
      </c>
      <c r="V25" s="6">
        <f t="shared" si="6"/>
        <v>69.25</v>
      </c>
      <c r="X25">
        <f t="shared" si="6"/>
        <v>73.150000000000006</v>
      </c>
      <c r="Y25">
        <f t="shared" si="6"/>
        <v>69.55</v>
      </c>
      <c r="Z25">
        <f t="shared" si="6"/>
        <v>70.5</v>
      </c>
      <c r="AA25">
        <f t="shared" si="6"/>
        <v>72.75</v>
      </c>
      <c r="AB25">
        <f t="shared" si="6"/>
        <v>82.95</v>
      </c>
      <c r="AC25" s="6">
        <f t="shared" si="6"/>
        <v>73.779999999999987</v>
      </c>
      <c r="AJ25" s="7"/>
    </row>
    <row r="26" spans="1:37" x14ac:dyDescent="0.25">
      <c r="A26" s="11" t="s">
        <v>59</v>
      </c>
      <c r="B26" s="11"/>
      <c r="C26">
        <f>COUNTIF(C4:C23,"&lt;50")</f>
        <v>0</v>
      </c>
      <c r="D26">
        <f t="shared" ref="D26:G26" si="7">COUNTIF(D4:D23,"&lt;50")</f>
        <v>11</v>
      </c>
      <c r="E26">
        <f t="shared" si="7"/>
        <v>0</v>
      </c>
      <c r="F26">
        <f t="shared" si="7"/>
        <v>4</v>
      </c>
      <c r="G26">
        <f t="shared" si="7"/>
        <v>0</v>
      </c>
      <c r="H26" s="6">
        <f>SUM(C26:G26)</f>
        <v>15</v>
      </c>
      <c r="J26">
        <f>COUNTIF(J4:J23,"&lt;50")</f>
        <v>4</v>
      </c>
      <c r="K26">
        <f t="shared" ref="K26:N26" si="8">COUNTIF(K4:K23,"&lt;50")</f>
        <v>6</v>
      </c>
      <c r="L26">
        <f t="shared" si="8"/>
        <v>3</v>
      </c>
      <c r="M26">
        <f t="shared" si="8"/>
        <v>8</v>
      </c>
      <c r="N26">
        <f t="shared" si="8"/>
        <v>0</v>
      </c>
      <c r="O26" s="6">
        <f>SUM(J26:N26)</f>
        <v>21</v>
      </c>
      <c r="Q26">
        <f>COUNTIF(Q4:Q23,"&lt;50")</f>
        <v>2</v>
      </c>
      <c r="R26">
        <f t="shared" ref="R26:U26" si="9">COUNTIF(R4:R23,"&lt;50")</f>
        <v>4</v>
      </c>
      <c r="S26">
        <f t="shared" si="9"/>
        <v>8</v>
      </c>
      <c r="T26">
        <f t="shared" si="9"/>
        <v>5</v>
      </c>
      <c r="U26">
        <f t="shared" si="9"/>
        <v>0</v>
      </c>
      <c r="V26" s="6">
        <f>SUM(Q26:U26)</f>
        <v>19</v>
      </c>
      <c r="X26">
        <f>COUNTIF(X4:X23,"&lt;50")</f>
        <v>2</v>
      </c>
      <c r="Y26">
        <f t="shared" ref="Y26:AB26" si="10">COUNTIF(Y4:Y23,"&lt;50")</f>
        <v>3</v>
      </c>
      <c r="Z26">
        <f t="shared" si="10"/>
        <v>2</v>
      </c>
      <c r="AA26">
        <f t="shared" si="10"/>
        <v>0</v>
      </c>
      <c r="AB26">
        <f t="shared" si="10"/>
        <v>0</v>
      </c>
      <c r="AC26" s="6">
        <f>SUM(X26:AB26)</f>
        <v>7</v>
      </c>
      <c r="AJ26" s="7"/>
    </row>
    <row r="27" spans="1:37" x14ac:dyDescent="0.25">
      <c r="A27" s="11" t="s">
        <v>58</v>
      </c>
      <c r="B27" s="11"/>
      <c r="C27">
        <f>COUNTIF(C4:C23,"&gt;=75")</f>
        <v>12</v>
      </c>
      <c r="D27">
        <f t="shared" ref="D27:G27" si="11">COUNTIF(D4:D23,"&gt;=75")</f>
        <v>2</v>
      </c>
      <c r="E27">
        <f t="shared" si="11"/>
        <v>9</v>
      </c>
      <c r="F27">
        <f t="shared" si="11"/>
        <v>5</v>
      </c>
      <c r="G27">
        <f t="shared" si="11"/>
        <v>19</v>
      </c>
      <c r="H27" s="6">
        <f>SUM(C27:G27)</f>
        <v>47</v>
      </c>
      <c r="J27">
        <f>COUNTIF(J4:J23,"&gt;=75")</f>
        <v>10</v>
      </c>
      <c r="K27">
        <f t="shared" ref="K27:N27" si="12">COUNTIF(K4:K23,"&gt;=75")</f>
        <v>7</v>
      </c>
      <c r="L27">
        <f t="shared" si="12"/>
        <v>7</v>
      </c>
      <c r="M27">
        <f t="shared" si="12"/>
        <v>2</v>
      </c>
      <c r="N27">
        <f t="shared" si="12"/>
        <v>17</v>
      </c>
      <c r="O27" s="6">
        <f>SUM(J27:N27)</f>
        <v>43</v>
      </c>
      <c r="Q27">
        <f>COUNTIF(Q4:Q23,"&gt;=75")</f>
        <v>11</v>
      </c>
      <c r="R27">
        <f t="shared" ref="R27:U27" si="13">COUNTIF(R4:R23,"&gt;=75")</f>
        <v>9</v>
      </c>
      <c r="S27">
        <f t="shared" si="13"/>
        <v>8</v>
      </c>
      <c r="T27">
        <f t="shared" si="13"/>
        <v>7</v>
      </c>
      <c r="U27">
        <f t="shared" si="13"/>
        <v>16</v>
      </c>
      <c r="V27" s="6">
        <f>SUM(Q27:U27)</f>
        <v>51</v>
      </c>
      <c r="X27">
        <f>COUNTIF(X4:X23,"&gt;=75")</f>
        <v>9</v>
      </c>
      <c r="Y27">
        <f t="shared" ref="Y27:AB27" si="14">COUNTIF(Y4:Y23,"&gt;=75")</f>
        <v>7</v>
      </c>
      <c r="Z27">
        <f t="shared" si="14"/>
        <v>9</v>
      </c>
      <c r="AA27">
        <f t="shared" si="14"/>
        <v>10</v>
      </c>
      <c r="AB27">
        <f t="shared" si="14"/>
        <v>19</v>
      </c>
      <c r="AC27" s="6">
        <f>SUM(X27:AB27)</f>
        <v>54</v>
      </c>
      <c r="AJ27" s="7"/>
    </row>
    <row r="28" spans="1:37" x14ac:dyDescent="0.25">
      <c r="A28" s="11" t="s">
        <v>53</v>
      </c>
      <c r="B28" s="11"/>
      <c r="C28">
        <f>AVERAGE(H25,O25,V25,AC25)</f>
        <v>69.719999999999985</v>
      </c>
    </row>
  </sheetData>
  <mergeCells count="4">
    <mergeCell ref="A25:B25"/>
    <mergeCell ref="A26:B26"/>
    <mergeCell ref="A27:B27"/>
    <mergeCell ref="A28:B28"/>
  </mergeCells>
  <conditionalFormatting sqref="H1:H24 H28:H1048576">
    <cfRule type="cellIs" dxfId="6" priority="9" operator="greaterThan">
      <formula>75</formula>
    </cfRule>
  </conditionalFormatting>
  <conditionalFormatting sqref="O1:O24 O28:O1048576">
    <cfRule type="cellIs" dxfId="5" priority="5" operator="greaterThan">
      <formula>75</formula>
    </cfRule>
  </conditionalFormatting>
  <conditionalFormatting sqref="V1:V24 V28:V1048576">
    <cfRule type="cellIs" dxfId="4" priority="4" operator="greaterThan">
      <formula>75</formula>
    </cfRule>
  </conditionalFormatting>
  <conditionalFormatting sqref="AC1:AC24 AC28:AC1048576">
    <cfRule type="cellIs" dxfId="3" priority="3" operator="greaterThan">
      <formula>75</formula>
    </cfRule>
    <cfRule type="cellIs" dxfId="2" priority="7" operator="greaterThan">
      <formula>75</formula>
    </cfRule>
  </conditionalFormatting>
  <conditionalFormatting sqref="AJ2:AJ24">
    <cfRule type="cellIs" dxfId="1" priority="1" operator="greaterThan">
      <formula>75</formula>
    </cfRule>
    <cfRule type="cellIs" dxfId="0" priority="2" operator="greaterThan">
      <formula>75</formula>
    </cfRule>
  </conditionalFormatting>
  <pageMargins left="0.7" right="0.7" top="0.75" bottom="0.75" header="0.3" footer="0.3"/>
  <pageSetup scale="2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Nomakhwezi Malusi</dc:creator>
  <cp:lastModifiedBy>Nomakhwezi Malusi</cp:lastModifiedBy>
  <cp:lastPrinted>2025-08-29T16:31:18Z</cp:lastPrinted>
  <dcterms:created xsi:type="dcterms:W3CDTF">2025-08-18T12:08:36Z</dcterms:created>
  <dcterms:modified xsi:type="dcterms:W3CDTF">2025-08-29T16:31:35Z</dcterms:modified>
</cp:coreProperties>
</file>